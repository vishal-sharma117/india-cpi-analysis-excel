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011730-7DFC-44D9-BBB4-D76DE961617A}" xr6:coauthVersionLast="47" xr6:coauthVersionMax="47" xr10:uidLastSave="{00000000-0000-0000-0000-000000000000}"/>
  <bookViews>
    <workbookView xWindow="-110" yWindow="-110" windowWidth="19420" windowHeight="10300" tabRatio="997" xr2:uid="{00000000-000D-0000-FFFF-FFFF00000000}"/>
  </bookViews>
  <sheets>
    <sheet name="Row Data" sheetId="1" r:id="rId1"/>
    <sheet name="Problem Statement" sheetId="2" r:id="rId2"/>
    <sheet name="Data Preparation" sheetId="3" r:id="rId3"/>
    <sheet name="Q1_CPI Contribution" sheetId="4" r:id="rId4"/>
    <sheet name="Q2_YoY Trend" sheetId="5" r:id="rId5"/>
    <sheet name="Q3_Food Inflation" sheetId="6" r:id="rId6"/>
    <sheet name="Q4_COVID Impact" sheetId="7" r:id="rId7"/>
    <sheet name="Q5_Oil Impact" sheetId="8" r:id="rId8"/>
  </sheets>
  <definedNames>
    <definedName name="_xlnm._FilterDatabase" localSheetId="2" hidden="1">'Data Preparation'!$A$1:$J$373</definedName>
    <definedName name="_xlnm._FilterDatabase" localSheetId="0" hidden="1">'Row Data'!$A$1:$AD$373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8" l="1"/>
  <c r="G11" i="8"/>
  <c r="G10" i="8"/>
  <c r="G9" i="8"/>
  <c r="G8" i="8"/>
  <c r="G7" i="8"/>
  <c r="G6" i="8"/>
  <c r="G4" i="8"/>
  <c r="G3" i="8"/>
  <c r="G2" i="8"/>
  <c r="T4" i="8"/>
  <c r="U4" i="8"/>
  <c r="V4" i="8"/>
  <c r="W4" i="8"/>
  <c r="X4" i="8"/>
  <c r="Y4" i="8"/>
  <c r="Z4" i="8"/>
  <c r="AA4" i="8"/>
  <c r="AB4" i="8"/>
  <c r="AC4" i="8"/>
  <c r="AD4" i="8"/>
  <c r="T5" i="8"/>
  <c r="U5" i="8"/>
  <c r="V5" i="8"/>
  <c r="W5" i="8"/>
  <c r="X5" i="8"/>
  <c r="Y5" i="8"/>
  <c r="Z5" i="8"/>
  <c r="AA5" i="8"/>
  <c r="AB5" i="8"/>
  <c r="AC5" i="8"/>
  <c r="AD5" i="8"/>
  <c r="T6" i="8"/>
  <c r="U6" i="8"/>
  <c r="V6" i="8"/>
  <c r="W6" i="8"/>
  <c r="X6" i="8"/>
  <c r="Y6" i="8"/>
  <c r="Z6" i="8"/>
  <c r="AA6" i="8"/>
  <c r="AB6" i="8"/>
  <c r="AC6" i="8"/>
  <c r="AD6" i="8"/>
  <c r="T7" i="8"/>
  <c r="U7" i="8"/>
  <c r="V7" i="8"/>
  <c r="W7" i="8"/>
  <c r="X7" i="8"/>
  <c r="Y7" i="8"/>
  <c r="Z7" i="8"/>
  <c r="AA7" i="8"/>
  <c r="AB7" i="8"/>
  <c r="AC7" i="8"/>
  <c r="AD7" i="8"/>
  <c r="T8" i="8"/>
  <c r="U8" i="8"/>
  <c r="V8" i="8"/>
  <c r="W8" i="8"/>
  <c r="X8" i="8"/>
  <c r="Y8" i="8"/>
  <c r="Z8" i="8"/>
  <c r="AA8" i="8"/>
  <c r="AB8" i="8"/>
  <c r="AC8" i="8"/>
  <c r="AD8" i="8"/>
  <c r="T9" i="8"/>
  <c r="U9" i="8"/>
  <c r="V9" i="8"/>
  <c r="W9" i="8"/>
  <c r="X9" i="8"/>
  <c r="Y9" i="8"/>
  <c r="Z9" i="8"/>
  <c r="AA9" i="8"/>
  <c r="AB9" i="8"/>
  <c r="AC9" i="8"/>
  <c r="AD9" i="8"/>
  <c r="T10" i="8"/>
  <c r="U10" i="8"/>
  <c r="V10" i="8"/>
  <c r="W10" i="8"/>
  <c r="X10" i="8"/>
  <c r="Y10" i="8"/>
  <c r="Z10" i="8"/>
  <c r="AA10" i="8"/>
  <c r="AB10" i="8"/>
  <c r="AC10" i="8"/>
  <c r="AD10" i="8"/>
  <c r="T11" i="8"/>
  <c r="U11" i="8"/>
  <c r="V11" i="8"/>
  <c r="W11" i="8"/>
  <c r="X11" i="8"/>
  <c r="Y11" i="8"/>
  <c r="Z11" i="8"/>
  <c r="AA11" i="8"/>
  <c r="AB11" i="8"/>
  <c r="AC11" i="8"/>
  <c r="AD11" i="8"/>
  <c r="T12" i="8"/>
  <c r="U12" i="8"/>
  <c r="V12" i="8"/>
  <c r="W12" i="8"/>
  <c r="X12" i="8"/>
  <c r="Y12" i="8"/>
  <c r="Z12" i="8"/>
  <c r="AA12" i="8"/>
  <c r="AB12" i="8"/>
  <c r="AC12" i="8"/>
  <c r="AD12" i="8"/>
  <c r="T13" i="8"/>
  <c r="U13" i="8"/>
  <c r="V13" i="8"/>
  <c r="W13" i="8"/>
  <c r="X13" i="8"/>
  <c r="Y13" i="8"/>
  <c r="Z13" i="8"/>
  <c r="AA13" i="8"/>
  <c r="AB13" i="8"/>
  <c r="AC13" i="8"/>
  <c r="AD13" i="8"/>
  <c r="T14" i="8"/>
  <c r="U14" i="8"/>
  <c r="V14" i="8"/>
  <c r="W14" i="8"/>
  <c r="X14" i="8"/>
  <c r="Y14" i="8"/>
  <c r="Z14" i="8"/>
  <c r="AA14" i="8"/>
  <c r="AB14" i="8"/>
  <c r="AC14" i="8"/>
  <c r="AD14" i="8"/>
  <c r="T15" i="8"/>
  <c r="U15" i="8"/>
  <c r="V15" i="8"/>
  <c r="W15" i="8"/>
  <c r="X15" i="8"/>
  <c r="Y15" i="8"/>
  <c r="Z15" i="8"/>
  <c r="AA15" i="8"/>
  <c r="AB15" i="8"/>
  <c r="AC15" i="8"/>
  <c r="AD15" i="8"/>
  <c r="T16" i="8"/>
  <c r="U16" i="8"/>
  <c r="V16" i="8"/>
  <c r="W16" i="8"/>
  <c r="X16" i="8"/>
  <c r="Y16" i="8"/>
  <c r="Z16" i="8"/>
  <c r="AA16" i="8"/>
  <c r="AB16" i="8"/>
  <c r="AC16" i="8"/>
  <c r="AD16" i="8"/>
  <c r="T17" i="8"/>
  <c r="U17" i="8"/>
  <c r="V17" i="8"/>
  <c r="W17" i="8"/>
  <c r="X17" i="8"/>
  <c r="Y17" i="8"/>
  <c r="Z17" i="8"/>
  <c r="AA17" i="8"/>
  <c r="AB17" i="8"/>
  <c r="AC17" i="8"/>
  <c r="AD17" i="8"/>
  <c r="T18" i="8"/>
  <c r="U18" i="8"/>
  <c r="V18" i="8"/>
  <c r="W18" i="8"/>
  <c r="X18" i="8"/>
  <c r="Y18" i="8"/>
  <c r="Z18" i="8"/>
  <c r="AA18" i="8"/>
  <c r="AB18" i="8"/>
  <c r="AC18" i="8"/>
  <c r="AD18" i="8"/>
  <c r="T19" i="8"/>
  <c r="U19" i="8"/>
  <c r="V19" i="8"/>
  <c r="W19" i="8"/>
  <c r="X19" i="8"/>
  <c r="Y19" i="8"/>
  <c r="Z19" i="8"/>
  <c r="AA19" i="8"/>
  <c r="AB19" i="8"/>
  <c r="AC19" i="8"/>
  <c r="AD19" i="8"/>
  <c r="T20" i="8"/>
  <c r="U20" i="8"/>
  <c r="V20" i="8"/>
  <c r="W20" i="8"/>
  <c r="X20" i="8"/>
  <c r="Y20" i="8"/>
  <c r="Z20" i="8"/>
  <c r="AA20" i="8"/>
  <c r="AB20" i="8"/>
  <c r="AC20" i="8"/>
  <c r="AD20" i="8"/>
  <c r="T21" i="8"/>
  <c r="U21" i="8"/>
  <c r="V21" i="8"/>
  <c r="W21" i="8"/>
  <c r="X21" i="8"/>
  <c r="Y21" i="8"/>
  <c r="Z21" i="8"/>
  <c r="AA21" i="8"/>
  <c r="AB21" i="8"/>
  <c r="AC21" i="8"/>
  <c r="AD21" i="8"/>
  <c r="T22" i="8"/>
  <c r="U22" i="8"/>
  <c r="V22" i="8"/>
  <c r="W22" i="8"/>
  <c r="X22" i="8"/>
  <c r="Y22" i="8"/>
  <c r="Z22" i="8"/>
  <c r="AA22" i="8"/>
  <c r="AB22" i="8"/>
  <c r="AC22" i="8"/>
  <c r="AD22" i="8"/>
  <c r="T23" i="8"/>
  <c r="U23" i="8"/>
  <c r="V23" i="8"/>
  <c r="W23" i="8"/>
  <c r="X23" i="8"/>
  <c r="Y23" i="8"/>
  <c r="Z23" i="8"/>
  <c r="AA23" i="8"/>
  <c r="AB23" i="8"/>
  <c r="AC23" i="8"/>
  <c r="AD23" i="8"/>
  <c r="T24" i="8"/>
  <c r="U24" i="8"/>
  <c r="V24" i="8"/>
  <c r="W24" i="8"/>
  <c r="X24" i="8"/>
  <c r="Y24" i="8"/>
  <c r="Z24" i="8"/>
  <c r="AA24" i="8"/>
  <c r="AB24" i="8"/>
  <c r="AC24" i="8"/>
  <c r="AD24" i="8"/>
  <c r="T25" i="8"/>
  <c r="U25" i="8"/>
  <c r="V25" i="8"/>
  <c r="W25" i="8"/>
  <c r="X25" i="8"/>
  <c r="Y25" i="8"/>
  <c r="Z25" i="8"/>
  <c r="AA25" i="8"/>
  <c r="AB25" i="8"/>
  <c r="AC25" i="8"/>
  <c r="AD25" i="8"/>
  <c r="T26" i="8"/>
  <c r="U26" i="8"/>
  <c r="V26" i="8"/>
  <c r="W26" i="8"/>
  <c r="X26" i="8"/>
  <c r="Y26" i="8"/>
  <c r="Z26" i="8"/>
  <c r="AA26" i="8"/>
  <c r="AB26" i="8"/>
  <c r="AC26" i="8"/>
  <c r="AD26" i="8"/>
  <c r="T27" i="8"/>
  <c r="U27" i="8"/>
  <c r="V27" i="8"/>
  <c r="W27" i="8"/>
  <c r="X27" i="8"/>
  <c r="Y27" i="8"/>
  <c r="Z27" i="8"/>
  <c r="AA27" i="8"/>
  <c r="AB27" i="8"/>
  <c r="AC27" i="8"/>
  <c r="AD27" i="8"/>
  <c r="T28" i="8"/>
  <c r="U28" i="8"/>
  <c r="V28" i="8"/>
  <c r="W28" i="8"/>
  <c r="X28" i="8"/>
  <c r="Y28" i="8"/>
  <c r="Z28" i="8"/>
  <c r="AA28" i="8"/>
  <c r="AB28" i="8"/>
  <c r="AC28" i="8"/>
  <c r="AD28" i="8"/>
  <c r="T29" i="8"/>
  <c r="U29" i="8"/>
  <c r="V29" i="8"/>
  <c r="W29" i="8"/>
  <c r="X29" i="8"/>
  <c r="Y29" i="8"/>
  <c r="Z29" i="8"/>
  <c r="AA29" i="8"/>
  <c r="AB29" i="8"/>
  <c r="AC29" i="8"/>
  <c r="AD29" i="8"/>
  <c r="U3" i="8"/>
  <c r="V3" i="8"/>
  <c r="W3" i="8"/>
  <c r="X3" i="8"/>
  <c r="Y3" i="8"/>
  <c r="Z3" i="8"/>
  <c r="AA3" i="8"/>
  <c r="AB3" i="8"/>
  <c r="AC3" i="8"/>
  <c r="AD3" i="8"/>
  <c r="T3" i="8"/>
  <c r="R3" i="8" a="1"/>
  <c r="R3" i="8"/>
  <c r="R4" i="8" a="1"/>
  <c r="R4" i="8" s="1"/>
  <c r="R5" i="8" a="1"/>
  <c r="R5" i="8"/>
  <c r="R6" i="8" a="1"/>
  <c r="R6" i="8"/>
  <c r="R7" i="8" a="1"/>
  <c r="R7" i="8"/>
  <c r="R8" i="8" a="1"/>
  <c r="R8" i="8" s="1"/>
  <c r="R9" i="8" a="1"/>
  <c r="R9" i="8"/>
  <c r="R10" i="8" a="1"/>
  <c r="R10" i="8"/>
  <c r="R11" i="8" a="1"/>
  <c r="R11" i="8"/>
  <c r="R12" i="8" a="1"/>
  <c r="R12" i="8" s="1"/>
  <c r="R13" i="8" a="1"/>
  <c r="R13" i="8"/>
  <c r="R14" i="8" a="1"/>
  <c r="R14" i="8"/>
  <c r="R15" i="8" a="1"/>
  <c r="R15" i="8"/>
  <c r="R16" i="8" a="1"/>
  <c r="R16" i="8" s="1"/>
  <c r="R17" i="8" a="1"/>
  <c r="R17" i="8"/>
  <c r="R18" i="8" a="1"/>
  <c r="R18" i="8"/>
  <c r="R19" i="8" a="1"/>
  <c r="R19" i="8"/>
  <c r="R20" i="8" a="1"/>
  <c r="R20" i="8" s="1"/>
  <c r="R21" i="8" a="1"/>
  <c r="R21" i="8"/>
  <c r="R22" i="8" a="1"/>
  <c r="R22" i="8"/>
  <c r="R23" i="8" a="1"/>
  <c r="R23" i="8"/>
  <c r="R24" i="8" a="1"/>
  <c r="R24" i="8" s="1"/>
  <c r="R25" i="8" a="1"/>
  <c r="R25" i="8"/>
  <c r="R26" i="8" a="1"/>
  <c r="R26" i="8"/>
  <c r="R27" i="8" a="1"/>
  <c r="R27" i="8"/>
  <c r="R28" i="8" a="1"/>
  <c r="R28" i="8" s="1"/>
  <c r="R29" i="8" a="1"/>
  <c r="R29" i="8"/>
  <c r="R30" i="8" a="1"/>
  <c r="R30" i="8"/>
  <c r="R31" i="8" a="1"/>
  <c r="R31" i="8"/>
  <c r="R32" i="8" a="1"/>
  <c r="R32" i="8" s="1"/>
  <c r="R33" i="8" a="1"/>
  <c r="R33" i="8"/>
  <c r="R34" i="8" a="1"/>
  <c r="R34" i="8"/>
  <c r="R35" i="8" a="1"/>
  <c r="R35" i="8"/>
  <c r="R36" i="8" a="1"/>
  <c r="R36" i="8" s="1"/>
  <c r="R37" i="8" a="1"/>
  <c r="R37" i="8"/>
  <c r="R2" i="8" a="1"/>
  <c r="R2" i="8" s="1"/>
  <c r="Q3" i="8" a="1"/>
  <c r="Q3" i="8" s="1"/>
  <c r="Q4" i="8" a="1"/>
  <c r="Q4" i="8" s="1"/>
  <c r="Q5" i="8" a="1"/>
  <c r="Q5" i="8"/>
  <c r="Q6" i="8" a="1"/>
  <c r="Q6" i="8" s="1"/>
  <c r="Q7" i="8" a="1"/>
  <c r="Q7" i="8" s="1"/>
  <c r="Q8" i="8" a="1"/>
  <c r="Q8" i="8" s="1"/>
  <c r="Q9" i="8" a="1"/>
  <c r="Q9" i="8"/>
  <c r="Q10" i="8" a="1"/>
  <c r="Q10" i="8" s="1"/>
  <c r="Q11" i="8" a="1"/>
  <c r="Q11" i="8" s="1"/>
  <c r="Q12" i="8" a="1"/>
  <c r="Q12" i="8" s="1"/>
  <c r="Q13" i="8" a="1"/>
  <c r="Q13" i="8"/>
  <c r="Q14" i="8" a="1"/>
  <c r="Q14" i="8" s="1"/>
  <c r="Q15" i="8" a="1"/>
  <c r="Q15" i="8" s="1"/>
  <c r="Q16" i="8" a="1"/>
  <c r="Q16" i="8" s="1"/>
  <c r="Q17" i="8" a="1"/>
  <c r="Q17" i="8"/>
  <c r="Q18" i="8" a="1"/>
  <c r="Q18" i="8" s="1"/>
  <c r="Q19" i="8" a="1"/>
  <c r="Q19" i="8" s="1"/>
  <c r="Q20" i="8" a="1"/>
  <c r="Q20" i="8" s="1"/>
  <c r="Q21" i="8" a="1"/>
  <c r="Q21" i="8"/>
  <c r="Q22" i="8" a="1"/>
  <c r="Q22" i="8" s="1"/>
  <c r="Q23" i="8" a="1"/>
  <c r="Q23" i="8" s="1"/>
  <c r="Q24" i="8" a="1"/>
  <c r="Q24" i="8" s="1"/>
  <c r="Q25" i="8" a="1"/>
  <c r="Q25" i="8"/>
  <c r="Q26" i="8" a="1"/>
  <c r="Q26" i="8" s="1"/>
  <c r="Q27" i="8" a="1"/>
  <c r="Q27" i="8" s="1"/>
  <c r="Q28" i="8" a="1"/>
  <c r="Q28" i="8" s="1"/>
  <c r="Q29" i="8" a="1"/>
  <c r="Q29" i="8"/>
  <c r="Q30" i="8" a="1"/>
  <c r="Q30" i="8" s="1"/>
  <c r="Q31" i="8" a="1"/>
  <c r="Q31" i="8" s="1"/>
  <c r="Q32" i="8" a="1"/>
  <c r="Q32" i="8" s="1"/>
  <c r="Q33" i="8" a="1"/>
  <c r="Q33" i="8"/>
  <c r="Q34" i="8" a="1"/>
  <c r="Q34" i="8" s="1"/>
  <c r="Q35" i="8" a="1"/>
  <c r="Q35" i="8" s="1"/>
  <c r="Q36" i="8" a="1"/>
  <c r="Q36" i="8" s="1"/>
  <c r="Q37" i="8" a="1"/>
  <c r="Q37" i="8"/>
  <c r="Q2" i="8" a="1"/>
  <c r="Q2" i="8" s="1"/>
  <c r="P3" i="8" a="1"/>
  <c r="P3" i="8" s="1"/>
  <c r="P4" i="8" a="1"/>
  <c r="P4" i="8" s="1"/>
  <c r="P5" i="8" a="1"/>
  <c r="P5" i="8" s="1"/>
  <c r="P6" i="8" a="1"/>
  <c r="P6" i="8"/>
  <c r="P7" i="8" a="1"/>
  <c r="P7" i="8" s="1"/>
  <c r="P8" i="8" a="1"/>
  <c r="P8" i="8" s="1"/>
  <c r="P9" i="8" a="1"/>
  <c r="P9" i="8" s="1"/>
  <c r="P10" i="8" a="1"/>
  <c r="P10" i="8"/>
  <c r="P11" i="8" a="1"/>
  <c r="P11" i="8" s="1"/>
  <c r="P12" i="8" a="1"/>
  <c r="P12" i="8" s="1"/>
  <c r="P13" i="8" a="1"/>
  <c r="P13" i="8" s="1"/>
  <c r="P14" i="8" a="1"/>
  <c r="P14" i="8"/>
  <c r="P15" i="8" a="1"/>
  <c r="P15" i="8" s="1"/>
  <c r="P16" i="8" a="1"/>
  <c r="P16" i="8" s="1"/>
  <c r="P17" i="8" a="1"/>
  <c r="P17" i="8" s="1"/>
  <c r="P18" i="8" a="1"/>
  <c r="P18" i="8"/>
  <c r="P19" i="8" a="1"/>
  <c r="P19" i="8" s="1"/>
  <c r="P20" i="8" a="1"/>
  <c r="P20" i="8" s="1"/>
  <c r="P21" i="8" a="1"/>
  <c r="P21" i="8" s="1"/>
  <c r="P22" i="8" a="1"/>
  <c r="P22" i="8"/>
  <c r="P23" i="8" a="1"/>
  <c r="P23" i="8" s="1"/>
  <c r="P24" i="8" a="1"/>
  <c r="P24" i="8" s="1"/>
  <c r="P25" i="8" a="1"/>
  <c r="P25" i="8" s="1"/>
  <c r="P26" i="8" a="1"/>
  <c r="P26" i="8"/>
  <c r="P27" i="8" a="1"/>
  <c r="P27" i="8" s="1"/>
  <c r="P28" i="8" a="1"/>
  <c r="P28" i="8" s="1"/>
  <c r="P29" i="8" a="1"/>
  <c r="P29" i="8" s="1"/>
  <c r="P30" i="8" a="1"/>
  <c r="P30" i="8"/>
  <c r="P31" i="8" a="1"/>
  <c r="P31" i="8" s="1"/>
  <c r="P32" i="8" a="1"/>
  <c r="P32" i="8" s="1"/>
  <c r="P33" i="8" a="1"/>
  <c r="P33" i="8" s="1"/>
  <c r="P34" i="8" a="1"/>
  <c r="P34" i="8"/>
  <c r="P35" i="8" a="1"/>
  <c r="P35" i="8" s="1"/>
  <c r="P36" i="8" a="1"/>
  <c r="P36" i="8" s="1"/>
  <c r="P37" i="8" a="1"/>
  <c r="P37" i="8" s="1"/>
  <c r="P2" i="8" a="1"/>
  <c r="P2" i="8" s="1"/>
  <c r="O3" i="8" a="1"/>
  <c r="O3" i="8" s="1"/>
  <c r="O4" i="8" a="1"/>
  <c r="O4" i="8" s="1"/>
  <c r="O5" i="8" a="1"/>
  <c r="O5" i="8" s="1"/>
  <c r="O6" i="8" a="1"/>
  <c r="O6" i="8"/>
  <c r="O7" i="8" a="1"/>
  <c r="O7" i="8" s="1"/>
  <c r="O8" i="8" a="1"/>
  <c r="O8" i="8" s="1"/>
  <c r="O9" i="8" a="1"/>
  <c r="O9" i="8" s="1"/>
  <c r="O10" i="8" a="1"/>
  <c r="O10" i="8"/>
  <c r="O11" i="8" a="1"/>
  <c r="O11" i="8" s="1"/>
  <c r="O12" i="8" a="1"/>
  <c r="O12" i="8" s="1"/>
  <c r="O13" i="8" a="1"/>
  <c r="O13" i="8" s="1"/>
  <c r="O14" i="8" a="1"/>
  <c r="O14" i="8"/>
  <c r="O15" i="8" a="1"/>
  <c r="O15" i="8" s="1"/>
  <c r="O16" i="8" a="1"/>
  <c r="O16" i="8" s="1"/>
  <c r="O17" i="8" a="1"/>
  <c r="O17" i="8" s="1"/>
  <c r="O18" i="8" a="1"/>
  <c r="O18" i="8"/>
  <c r="O19" i="8" a="1"/>
  <c r="O19" i="8" s="1"/>
  <c r="O20" i="8" a="1"/>
  <c r="O20" i="8" s="1"/>
  <c r="O21" i="8" a="1"/>
  <c r="O21" i="8" s="1"/>
  <c r="O22" i="8" a="1"/>
  <c r="O22" i="8"/>
  <c r="O23" i="8" a="1"/>
  <c r="O23" i="8" s="1"/>
  <c r="O24" i="8" a="1"/>
  <c r="O24" i="8" s="1"/>
  <c r="O25" i="8" a="1"/>
  <c r="O25" i="8" s="1"/>
  <c r="O26" i="8" a="1"/>
  <c r="O26" i="8"/>
  <c r="O27" i="8" a="1"/>
  <c r="O27" i="8" s="1"/>
  <c r="O28" i="8" a="1"/>
  <c r="O28" i="8" s="1"/>
  <c r="O29" i="8" a="1"/>
  <c r="O29" i="8" s="1"/>
  <c r="O30" i="8" a="1"/>
  <c r="O30" i="8"/>
  <c r="O31" i="8" a="1"/>
  <c r="O31" i="8" s="1"/>
  <c r="O32" i="8" a="1"/>
  <c r="O32" i="8" s="1"/>
  <c r="O33" i="8" a="1"/>
  <c r="O33" i="8" s="1"/>
  <c r="O34" i="8" a="1"/>
  <c r="O34" i="8"/>
  <c r="O35" i="8" a="1"/>
  <c r="O35" i="8" s="1"/>
  <c r="O36" i="8" a="1"/>
  <c r="O36" i="8" s="1"/>
  <c r="O37" i="8" a="1"/>
  <c r="O37" i="8" s="1"/>
  <c r="O2" i="8" a="1"/>
  <c r="O2" i="8" s="1"/>
  <c r="N3" i="8" a="1"/>
  <c r="N3" i="8"/>
  <c r="N4" i="8" a="1"/>
  <c r="N4" i="8" s="1"/>
  <c r="N5" i="8" a="1"/>
  <c r="N5" i="8"/>
  <c r="N6" i="8" a="1"/>
  <c r="N6" i="8"/>
  <c r="N7" i="8" a="1"/>
  <c r="N7" i="8"/>
  <c r="N8" i="8" a="1"/>
  <c r="N8" i="8" s="1"/>
  <c r="N9" i="8" a="1"/>
  <c r="N9" i="8"/>
  <c r="N10" i="8" a="1"/>
  <c r="N10" i="8"/>
  <c r="N11" i="8" a="1"/>
  <c r="N11" i="8" s="1"/>
  <c r="N12" i="8" a="1"/>
  <c r="N12" i="8" s="1"/>
  <c r="N13" i="8" a="1"/>
  <c r="N13" i="8" s="1"/>
  <c r="N14" i="8" a="1"/>
  <c r="N14" i="8"/>
  <c r="N15" i="8" a="1"/>
  <c r="N15" i="8" s="1"/>
  <c r="N16" i="8" a="1"/>
  <c r="N16" i="8" s="1"/>
  <c r="N17" i="8" a="1"/>
  <c r="N17" i="8" s="1"/>
  <c r="N18" i="8" a="1"/>
  <c r="N18" i="8"/>
  <c r="N19" i="8" a="1"/>
  <c r="N19" i="8" s="1"/>
  <c r="N20" i="8" a="1"/>
  <c r="N20" i="8" s="1"/>
  <c r="N21" i="8" a="1"/>
  <c r="N21" i="8" s="1"/>
  <c r="N22" i="8" a="1"/>
  <c r="N22" i="8"/>
  <c r="N23" i="8" a="1"/>
  <c r="N23" i="8" s="1"/>
  <c r="N24" i="8" a="1"/>
  <c r="N24" i="8" s="1"/>
  <c r="N25" i="8" a="1"/>
  <c r="N25" i="8" s="1"/>
  <c r="N26" i="8" a="1"/>
  <c r="N26" i="8"/>
  <c r="N27" i="8" a="1"/>
  <c r="N27" i="8" s="1"/>
  <c r="N28" i="8" a="1"/>
  <c r="N28" i="8" s="1"/>
  <c r="N29" i="8" a="1"/>
  <c r="N29" i="8" s="1"/>
  <c r="N30" i="8" a="1"/>
  <c r="N30" i="8"/>
  <c r="N31" i="8" a="1"/>
  <c r="N31" i="8" s="1"/>
  <c r="N32" i="8" a="1"/>
  <c r="N32" i="8" s="1"/>
  <c r="N33" i="8" a="1"/>
  <c r="N33" i="8" s="1"/>
  <c r="N34" i="8" a="1"/>
  <c r="N34" i="8"/>
  <c r="N35" i="8" a="1"/>
  <c r="N35" i="8" s="1"/>
  <c r="N36" i="8" a="1"/>
  <c r="N36" i="8" s="1"/>
  <c r="N37" i="8" a="1"/>
  <c r="N37" i="8" s="1"/>
  <c r="N2" i="8" a="1"/>
  <c r="N2" i="8" s="1"/>
  <c r="M3" i="8" a="1"/>
  <c r="M3" i="8"/>
  <c r="M4" i="8" a="1"/>
  <c r="M4" i="8" s="1"/>
  <c r="M5" i="8" a="1"/>
  <c r="M5" i="8"/>
  <c r="M6" i="8" a="1"/>
  <c r="M6" i="8"/>
  <c r="M7" i="8" a="1"/>
  <c r="M7" i="8"/>
  <c r="M8" i="8" a="1"/>
  <c r="M8" i="8" s="1"/>
  <c r="M9" i="8" a="1"/>
  <c r="M9" i="8"/>
  <c r="M10" i="8" a="1"/>
  <c r="M10" i="8"/>
  <c r="M11" i="8" a="1"/>
  <c r="M11" i="8"/>
  <c r="M12" i="8" a="1"/>
  <c r="M12" i="8" s="1"/>
  <c r="M13" i="8" a="1"/>
  <c r="M13" i="8"/>
  <c r="M14" i="8" a="1"/>
  <c r="M14" i="8"/>
  <c r="M15" i="8" a="1"/>
  <c r="M15" i="8"/>
  <c r="M16" i="8" a="1"/>
  <c r="M16" i="8" s="1"/>
  <c r="M17" i="8" a="1"/>
  <c r="M17" i="8"/>
  <c r="M18" i="8" a="1"/>
  <c r="M18" i="8"/>
  <c r="M19" i="8" a="1"/>
  <c r="M19" i="8"/>
  <c r="M20" i="8" a="1"/>
  <c r="M20" i="8" s="1"/>
  <c r="M21" i="8" a="1"/>
  <c r="M21" i="8"/>
  <c r="M22" i="8" a="1"/>
  <c r="M22" i="8"/>
  <c r="M23" i="8" a="1"/>
  <c r="M23" i="8"/>
  <c r="M24" i="8" a="1"/>
  <c r="M24" i="8" s="1"/>
  <c r="M25" i="8" a="1"/>
  <c r="M25" i="8"/>
  <c r="M26" i="8" a="1"/>
  <c r="M26" i="8"/>
  <c r="M27" i="8" a="1"/>
  <c r="M27" i="8" s="1"/>
  <c r="M28" i="8" a="1"/>
  <c r="M28" i="8" s="1"/>
  <c r="M29" i="8" a="1"/>
  <c r="M29" i="8" s="1"/>
  <c r="M30" i="8" a="1"/>
  <c r="M30" i="8"/>
  <c r="M31" i="8" a="1"/>
  <c r="M31" i="8" s="1"/>
  <c r="M32" i="8" a="1"/>
  <c r="M32" i="8" s="1"/>
  <c r="M33" i="8" a="1"/>
  <c r="M33" i="8" s="1"/>
  <c r="M34" i="8" a="1"/>
  <c r="M34" i="8"/>
  <c r="M35" i="8" a="1"/>
  <c r="M35" i="8" s="1"/>
  <c r="M36" i="8" a="1"/>
  <c r="M36" i="8" s="1"/>
  <c r="M37" i="8" a="1"/>
  <c r="M37" i="8" s="1"/>
  <c r="M2" i="8" a="1"/>
  <c r="M2" i="8" s="1"/>
  <c r="L3" i="8" a="1"/>
  <c r="L3" i="8" s="1"/>
  <c r="L4" i="8" a="1"/>
  <c r="L4" i="8" s="1"/>
  <c r="L5" i="8" a="1"/>
  <c r="L5" i="8"/>
  <c r="L6" i="8" a="1"/>
  <c r="L6" i="8"/>
  <c r="L7" i="8" a="1"/>
  <c r="L7" i="8" s="1"/>
  <c r="L8" i="8" a="1"/>
  <c r="L8" i="8" s="1"/>
  <c r="L9" i="8" a="1"/>
  <c r="L9" i="8"/>
  <c r="L10" i="8" a="1"/>
  <c r="L10" i="8"/>
  <c r="L11" i="8" a="1"/>
  <c r="L11" i="8" s="1"/>
  <c r="L12" i="8" a="1"/>
  <c r="L12" i="8" s="1"/>
  <c r="L13" i="8" a="1"/>
  <c r="L13" i="8"/>
  <c r="L14" i="8" a="1"/>
  <c r="L14" i="8"/>
  <c r="L15" i="8" a="1"/>
  <c r="L15" i="8" s="1"/>
  <c r="L16" i="8" a="1"/>
  <c r="L16" i="8" s="1"/>
  <c r="L17" i="8" a="1"/>
  <c r="L17" i="8"/>
  <c r="L18" i="8" a="1"/>
  <c r="L18" i="8"/>
  <c r="L19" i="8" a="1"/>
  <c r="L19" i="8" s="1"/>
  <c r="L20" i="8" a="1"/>
  <c r="L20" i="8" s="1"/>
  <c r="L21" i="8" a="1"/>
  <c r="L21" i="8"/>
  <c r="L22" i="8" a="1"/>
  <c r="L22" i="8"/>
  <c r="L23" i="8" a="1"/>
  <c r="L23" i="8" s="1"/>
  <c r="L24" i="8" a="1"/>
  <c r="L24" i="8" s="1"/>
  <c r="L25" i="8" a="1"/>
  <c r="L25" i="8"/>
  <c r="L26" i="8" a="1"/>
  <c r="L26" i="8"/>
  <c r="L27" i="8" a="1"/>
  <c r="L27" i="8" s="1"/>
  <c r="L28" i="8" a="1"/>
  <c r="L28" i="8" s="1"/>
  <c r="L29" i="8" a="1"/>
  <c r="L29" i="8"/>
  <c r="L30" i="8" a="1"/>
  <c r="L30" i="8"/>
  <c r="L31" i="8" a="1"/>
  <c r="L31" i="8" s="1"/>
  <c r="L32" i="8" a="1"/>
  <c r="L32" i="8" s="1"/>
  <c r="L33" i="8" a="1"/>
  <c r="L33" i="8"/>
  <c r="L34" i="8" a="1"/>
  <c r="L34" i="8"/>
  <c r="L35" i="8" a="1"/>
  <c r="L35" i="8" s="1"/>
  <c r="L36" i="8" a="1"/>
  <c r="L36" i="8" s="1"/>
  <c r="L37" i="8" a="1"/>
  <c r="L37" i="8"/>
  <c r="L2" i="8" a="1"/>
  <c r="L2" i="8" s="1"/>
  <c r="K3" i="8" a="1"/>
  <c r="K3" i="8"/>
  <c r="K4" i="8" a="1"/>
  <c r="K4" i="8" s="1"/>
  <c r="K5" i="8" a="1"/>
  <c r="K5" i="8"/>
  <c r="K6" i="8" a="1"/>
  <c r="K6" i="8"/>
  <c r="K7" i="8" a="1"/>
  <c r="K7" i="8"/>
  <c r="K8" i="8" a="1"/>
  <c r="K8" i="8" s="1"/>
  <c r="K9" i="8" a="1"/>
  <c r="K9" i="8"/>
  <c r="K10" i="8" a="1"/>
  <c r="K10" i="8"/>
  <c r="K11" i="8" a="1"/>
  <c r="K11" i="8"/>
  <c r="K12" i="8" a="1"/>
  <c r="K12" i="8" s="1"/>
  <c r="K13" i="8" a="1"/>
  <c r="K13" i="8"/>
  <c r="K14" i="8" a="1"/>
  <c r="K14" i="8"/>
  <c r="K15" i="8" a="1"/>
  <c r="K15" i="8" s="1"/>
  <c r="K16" i="8" a="1"/>
  <c r="K16" i="8" s="1"/>
  <c r="K17" i="8" a="1"/>
  <c r="K17" i="8"/>
  <c r="K18" i="8" a="1"/>
  <c r="K18" i="8"/>
  <c r="K19" i="8" a="1"/>
  <c r="K19" i="8" s="1"/>
  <c r="K20" i="8" a="1"/>
  <c r="K20" i="8" s="1"/>
  <c r="K21" i="8" a="1"/>
  <c r="K21" i="8"/>
  <c r="K22" i="8" a="1"/>
  <c r="K22" i="8"/>
  <c r="K23" i="8" a="1"/>
  <c r="K23" i="8" s="1"/>
  <c r="K24" i="8" a="1"/>
  <c r="K24" i="8" s="1"/>
  <c r="K25" i="8" a="1"/>
  <c r="K25" i="8"/>
  <c r="K26" i="8" a="1"/>
  <c r="K26" i="8"/>
  <c r="K27" i="8" a="1"/>
  <c r="K27" i="8" s="1"/>
  <c r="K28" i="8" a="1"/>
  <c r="K28" i="8" s="1"/>
  <c r="K29" i="8" a="1"/>
  <c r="K29" i="8" s="1"/>
  <c r="K30" i="8" a="1"/>
  <c r="K30" i="8"/>
  <c r="K31" i="8" a="1"/>
  <c r="K31" i="8" s="1"/>
  <c r="K32" i="8" a="1"/>
  <c r="K32" i="8" s="1"/>
  <c r="K33" i="8" a="1"/>
  <c r="K33" i="8" s="1"/>
  <c r="K34" i="8" a="1"/>
  <c r="K34" i="8"/>
  <c r="K35" i="8" a="1"/>
  <c r="K35" i="8" s="1"/>
  <c r="K36" i="8" a="1"/>
  <c r="K36" i="8" s="1"/>
  <c r="K37" i="8" a="1"/>
  <c r="K37" i="8" s="1"/>
  <c r="K2" i="8" a="1"/>
  <c r="K2" i="8" s="1"/>
  <c r="J3" i="8" a="1"/>
  <c r="J3" i="8" s="1"/>
  <c r="J4" i="8" a="1"/>
  <c r="J4" i="8" s="1"/>
  <c r="J5" i="8" a="1"/>
  <c r="J5" i="8"/>
  <c r="J6" i="8" a="1"/>
  <c r="J6" i="8"/>
  <c r="J7" i="8" a="1"/>
  <c r="J7" i="8" s="1"/>
  <c r="J8" i="8" a="1"/>
  <c r="J8" i="8" s="1"/>
  <c r="J9" i="8" a="1"/>
  <c r="J9" i="8"/>
  <c r="J10" i="8" a="1"/>
  <c r="J10" i="8"/>
  <c r="J11" i="8" a="1"/>
  <c r="J11" i="8" s="1"/>
  <c r="J12" i="8" a="1"/>
  <c r="J12" i="8" s="1"/>
  <c r="J13" i="8" a="1"/>
  <c r="J13" i="8"/>
  <c r="J14" i="8" a="1"/>
  <c r="J14" i="8"/>
  <c r="J15" i="8" a="1"/>
  <c r="J15" i="8" s="1"/>
  <c r="J16" i="8" a="1"/>
  <c r="J16" i="8" s="1"/>
  <c r="J17" i="8" a="1"/>
  <c r="J17" i="8"/>
  <c r="J18" i="8" a="1"/>
  <c r="J18" i="8"/>
  <c r="J19" i="8" a="1"/>
  <c r="J19" i="8" s="1"/>
  <c r="J20" i="8" a="1"/>
  <c r="J20" i="8" s="1"/>
  <c r="J21" i="8" a="1"/>
  <c r="J21" i="8"/>
  <c r="J22" i="8" a="1"/>
  <c r="J22" i="8"/>
  <c r="J23" i="8" a="1"/>
  <c r="J23" i="8" s="1"/>
  <c r="J24" i="8" a="1"/>
  <c r="J24" i="8" s="1"/>
  <c r="J25" i="8" a="1"/>
  <c r="J25" i="8"/>
  <c r="J26" i="8" a="1"/>
  <c r="J26" i="8"/>
  <c r="J27" i="8" a="1"/>
  <c r="J27" i="8" s="1"/>
  <c r="J28" i="8" a="1"/>
  <c r="J28" i="8" s="1"/>
  <c r="J29" i="8" a="1"/>
  <c r="J29" i="8"/>
  <c r="J30" i="8" a="1"/>
  <c r="J30" i="8"/>
  <c r="J31" i="8" a="1"/>
  <c r="J31" i="8" s="1"/>
  <c r="J32" i="8" a="1"/>
  <c r="J32" i="8" s="1"/>
  <c r="J33" i="8" a="1"/>
  <c r="J33" i="8"/>
  <c r="J34" i="8" a="1"/>
  <c r="J34" i="8"/>
  <c r="J35" i="8" a="1"/>
  <c r="J35" i="8" s="1"/>
  <c r="J36" i="8" a="1"/>
  <c r="J36" i="8" s="1"/>
  <c r="J37" i="8" a="1"/>
  <c r="J37" i="8"/>
  <c r="J2" i="8" a="1"/>
  <c r="J2" i="8" s="1"/>
  <c r="I3" i="8" a="1"/>
  <c r="I3" i="8"/>
  <c r="I4" i="8" a="1"/>
  <c r="I4" i="8" s="1"/>
  <c r="I5" i="8" a="1"/>
  <c r="I5" i="8" s="1"/>
  <c r="I6" i="8" a="1"/>
  <c r="I6" i="8" s="1"/>
  <c r="I7" i="8" a="1"/>
  <c r="I7" i="8"/>
  <c r="I8" i="8" a="1"/>
  <c r="I8" i="8" s="1"/>
  <c r="I9" i="8" a="1"/>
  <c r="I9" i="8" s="1"/>
  <c r="I10" i="8" a="1"/>
  <c r="I10" i="8" s="1"/>
  <c r="I11" i="8" a="1"/>
  <c r="I11" i="8"/>
  <c r="I12" i="8" a="1"/>
  <c r="I12" i="8" s="1"/>
  <c r="I13" i="8" a="1"/>
  <c r="I13" i="8" s="1"/>
  <c r="I14" i="8" a="1"/>
  <c r="I14" i="8" s="1"/>
  <c r="I15" i="8" a="1"/>
  <c r="I15" i="8"/>
  <c r="I16" i="8" a="1"/>
  <c r="I16" i="8" s="1"/>
  <c r="I17" i="8" a="1"/>
  <c r="I17" i="8" s="1"/>
  <c r="I18" i="8" a="1"/>
  <c r="I18" i="8" s="1"/>
  <c r="I19" i="8" a="1"/>
  <c r="I19" i="8"/>
  <c r="I20" i="8" a="1"/>
  <c r="I20" i="8" s="1"/>
  <c r="I21" i="8" a="1"/>
  <c r="I21" i="8" s="1"/>
  <c r="I22" i="8" a="1"/>
  <c r="I22" i="8" s="1"/>
  <c r="I23" i="8" a="1"/>
  <c r="I23" i="8"/>
  <c r="I24" i="8" a="1"/>
  <c r="I24" i="8" s="1"/>
  <c r="I25" i="8" a="1"/>
  <c r="I25" i="8" s="1"/>
  <c r="I26" i="8" a="1"/>
  <c r="I26" i="8" s="1"/>
  <c r="I27" i="8" a="1"/>
  <c r="I27" i="8"/>
  <c r="I28" i="8" a="1"/>
  <c r="I28" i="8" s="1"/>
  <c r="I29" i="8" a="1"/>
  <c r="I29" i="8" s="1"/>
  <c r="I30" i="8" a="1"/>
  <c r="I30" i="8" s="1"/>
  <c r="I31" i="8" a="1"/>
  <c r="I31" i="8"/>
  <c r="I32" i="8" a="1"/>
  <c r="I32" i="8" s="1"/>
  <c r="I33" i="8" a="1"/>
  <c r="I33" i="8" s="1"/>
  <c r="I34" i="8" a="1"/>
  <c r="I34" i="8" s="1"/>
  <c r="I35" i="8" a="1"/>
  <c r="I35" i="8"/>
  <c r="I36" i="8" a="1"/>
  <c r="I36" i="8" s="1"/>
  <c r="I37" i="8" a="1"/>
  <c r="I37" i="8" s="1"/>
  <c r="I2" i="8" a="1"/>
  <c r="I2" i="8" s="1"/>
  <c r="H3" i="8" a="1"/>
  <c r="H3" i="8" s="1"/>
  <c r="H4" i="8" a="1"/>
  <c r="H4" i="8" s="1"/>
  <c r="H5" i="8" a="1"/>
  <c r="H5" i="8" s="1"/>
  <c r="H6" i="8" a="1"/>
  <c r="H6" i="8"/>
  <c r="H7" i="8" a="1"/>
  <c r="H7" i="8" s="1"/>
  <c r="H8" i="8" a="1"/>
  <c r="H8" i="8" s="1"/>
  <c r="H9" i="8" a="1"/>
  <c r="H9" i="8" s="1"/>
  <c r="H10" i="8" a="1"/>
  <c r="H10" i="8"/>
  <c r="H11" i="8" a="1"/>
  <c r="H11" i="8" s="1"/>
  <c r="H12" i="8" a="1"/>
  <c r="H12" i="8" s="1"/>
  <c r="H13" i="8" a="1"/>
  <c r="H13" i="8" s="1"/>
  <c r="H14" i="8" a="1"/>
  <c r="H14" i="8"/>
  <c r="H15" i="8" a="1"/>
  <c r="H15" i="8" s="1"/>
  <c r="H16" i="8" a="1"/>
  <c r="H16" i="8" s="1"/>
  <c r="H17" i="8" a="1"/>
  <c r="H17" i="8" s="1"/>
  <c r="H18" i="8" a="1"/>
  <c r="H18" i="8"/>
  <c r="H19" i="8" a="1"/>
  <c r="H19" i="8" s="1"/>
  <c r="H20" i="8" a="1"/>
  <c r="H20" i="8" s="1"/>
  <c r="H21" i="8" a="1"/>
  <c r="H21" i="8" s="1"/>
  <c r="H22" i="8" a="1"/>
  <c r="H22" i="8"/>
  <c r="H23" i="8" a="1"/>
  <c r="H23" i="8" s="1"/>
  <c r="H24" i="8" a="1"/>
  <c r="H24" i="8" s="1"/>
  <c r="H25" i="8" a="1"/>
  <c r="H25" i="8" s="1"/>
  <c r="H26" i="8" a="1"/>
  <c r="H26" i="8"/>
  <c r="H27" i="8" a="1"/>
  <c r="H27" i="8" s="1"/>
  <c r="H28" i="8" a="1"/>
  <c r="H28" i="8" s="1"/>
  <c r="H29" i="8" a="1"/>
  <c r="H29" i="8" s="1"/>
  <c r="H30" i="8" a="1"/>
  <c r="H30" i="8"/>
  <c r="H31" i="8" a="1"/>
  <c r="H31" i="8" s="1"/>
  <c r="H32" i="8" a="1"/>
  <c r="H32" i="8" s="1"/>
  <c r="H33" i="8" a="1"/>
  <c r="H33" i="8" s="1"/>
  <c r="H34" i="8" a="1"/>
  <c r="H34" i="8"/>
  <c r="H35" i="8" a="1"/>
  <c r="H35" i="8" s="1"/>
  <c r="H36" i="8" a="1"/>
  <c r="H36" i="8" s="1"/>
  <c r="H37" i="8" a="1"/>
  <c r="H37" i="8" s="1"/>
  <c r="H2" i="8" a="1"/>
  <c r="H2" i="8" s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2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" i="8"/>
  <c r="D3" i="7"/>
  <c r="D4" i="7"/>
  <c r="D5" i="7"/>
  <c r="D6" i="7"/>
  <c r="D7" i="7"/>
  <c r="D8" i="7"/>
  <c r="D9" i="7"/>
  <c r="D10" i="7"/>
  <c r="D11" i="7"/>
  <c r="D12" i="7"/>
  <c r="D13" i="7"/>
  <c r="D2" i="7"/>
  <c r="C3" i="7"/>
  <c r="C4" i="7"/>
  <c r="C5" i="7"/>
  <c r="C6" i="7"/>
  <c r="C7" i="7"/>
  <c r="C8" i="7"/>
  <c r="C10" i="7"/>
  <c r="C11" i="7"/>
  <c r="C12" i="7"/>
  <c r="C13" i="7"/>
  <c r="C2" i="7"/>
  <c r="B3" i="7"/>
  <c r="B4" i="7"/>
  <c r="B5" i="7"/>
  <c r="B6" i="7"/>
  <c r="B7" i="7"/>
  <c r="B8" i="7"/>
  <c r="B10" i="7"/>
  <c r="B11" i="7"/>
  <c r="B12" i="7"/>
  <c r="B13" i="7"/>
  <c r="B2" i="7"/>
  <c r="G5" i="6"/>
  <c r="F5" i="6"/>
  <c r="G2" i="6"/>
  <c r="F2" i="6"/>
  <c r="D3" i="6"/>
  <c r="D4" i="6"/>
  <c r="D5" i="6"/>
  <c r="D6" i="6"/>
  <c r="D7" i="6"/>
  <c r="D8" i="6"/>
  <c r="D9" i="6"/>
  <c r="D10" i="6"/>
  <c r="D11" i="6"/>
  <c r="D12" i="6"/>
  <c r="D13" i="6"/>
  <c r="D2" i="6"/>
  <c r="C3" i="6"/>
  <c r="C4" i="6"/>
  <c r="C5" i="6"/>
  <c r="C6" i="6"/>
  <c r="C7" i="6"/>
  <c r="C8" i="6"/>
  <c r="C9" i="6"/>
  <c r="C10" i="6"/>
  <c r="C11" i="6"/>
  <c r="C12" i="6"/>
  <c r="C13" i="6"/>
  <c r="C2" i="6"/>
  <c r="B3" i="6"/>
  <c r="B4" i="6"/>
  <c r="B5" i="6"/>
  <c r="B6" i="6"/>
  <c r="B7" i="6"/>
  <c r="B8" i="6"/>
  <c r="B9" i="6"/>
  <c r="B10" i="6"/>
  <c r="B11" i="6"/>
  <c r="B12" i="6"/>
  <c r="B13" i="6"/>
  <c r="B2" i="6"/>
  <c r="D3" i="3"/>
  <c r="D4" i="3"/>
  <c r="D5" i="3"/>
  <c r="D6" i="3"/>
  <c r="D7" i="3"/>
  <c r="D8" i="3"/>
  <c r="J8" i="3" s="1"/>
  <c r="D9" i="3"/>
  <c r="D10" i="3"/>
  <c r="J10" i="3" s="1"/>
  <c r="D11" i="3"/>
  <c r="D12" i="3"/>
  <c r="D13" i="3"/>
  <c r="D14" i="3"/>
  <c r="D15" i="3"/>
  <c r="D16" i="3"/>
  <c r="J16" i="3" s="1"/>
  <c r="D17" i="3"/>
  <c r="D18" i="3"/>
  <c r="G21" i="3" s="1"/>
  <c r="D19" i="3"/>
  <c r="D20" i="3"/>
  <c r="D21" i="3"/>
  <c r="D22" i="3"/>
  <c r="D23" i="3"/>
  <c r="D24" i="3"/>
  <c r="D25" i="3"/>
  <c r="D26" i="3"/>
  <c r="J26" i="3" s="1"/>
  <c r="D27" i="3"/>
  <c r="D28" i="3"/>
  <c r="D29" i="3"/>
  <c r="D30" i="3"/>
  <c r="D31" i="3"/>
  <c r="D32" i="3"/>
  <c r="D33" i="3"/>
  <c r="D34" i="3"/>
  <c r="J34" i="3" s="1"/>
  <c r="D35" i="3"/>
  <c r="D36" i="3"/>
  <c r="D37" i="3"/>
  <c r="D38" i="3"/>
  <c r="D39" i="3"/>
  <c r="D40" i="3"/>
  <c r="D41" i="3"/>
  <c r="D42" i="3"/>
  <c r="J42" i="3" s="1"/>
  <c r="D43" i="3"/>
  <c r="D44" i="3"/>
  <c r="D45" i="3"/>
  <c r="D46" i="3"/>
  <c r="D47" i="3"/>
  <c r="D48" i="3"/>
  <c r="D49" i="3"/>
  <c r="D50" i="3"/>
  <c r="J50" i="3" s="1"/>
  <c r="D51" i="3"/>
  <c r="D52" i="3"/>
  <c r="D53" i="3"/>
  <c r="D54" i="3"/>
  <c r="D55" i="3"/>
  <c r="D56" i="3"/>
  <c r="D57" i="3"/>
  <c r="D58" i="3"/>
  <c r="J58" i="3" s="1"/>
  <c r="D59" i="3"/>
  <c r="D60" i="3"/>
  <c r="D61" i="3"/>
  <c r="D62" i="3"/>
  <c r="D63" i="3"/>
  <c r="D64" i="3"/>
  <c r="D65" i="3"/>
  <c r="D66" i="3"/>
  <c r="J66" i="3" s="1"/>
  <c r="D67" i="3"/>
  <c r="D68" i="3"/>
  <c r="D69" i="3"/>
  <c r="D70" i="3"/>
  <c r="D71" i="3"/>
  <c r="D72" i="3"/>
  <c r="D73" i="3"/>
  <c r="D74" i="3"/>
  <c r="J74" i="3" s="1"/>
  <c r="D75" i="3"/>
  <c r="D76" i="3"/>
  <c r="D77" i="3"/>
  <c r="D78" i="3"/>
  <c r="D79" i="3"/>
  <c r="D80" i="3"/>
  <c r="D81" i="3"/>
  <c r="D82" i="3"/>
  <c r="J82" i="3" s="1"/>
  <c r="D83" i="3"/>
  <c r="D84" i="3"/>
  <c r="D85" i="3"/>
  <c r="D86" i="3"/>
  <c r="D87" i="3"/>
  <c r="D88" i="3"/>
  <c r="D89" i="3"/>
  <c r="D90" i="3"/>
  <c r="J90" i="3" s="1"/>
  <c r="D91" i="3"/>
  <c r="D92" i="3"/>
  <c r="D93" i="3"/>
  <c r="D94" i="3"/>
  <c r="D95" i="3"/>
  <c r="D96" i="3"/>
  <c r="D97" i="3"/>
  <c r="D98" i="3"/>
  <c r="J98" i="3" s="1"/>
  <c r="D99" i="3"/>
  <c r="D100" i="3"/>
  <c r="D101" i="3"/>
  <c r="D102" i="3"/>
  <c r="D103" i="3"/>
  <c r="D104" i="3"/>
  <c r="D105" i="3"/>
  <c r="D106" i="3"/>
  <c r="J106" i="3" s="1"/>
  <c r="D107" i="3"/>
  <c r="D108" i="3"/>
  <c r="D109" i="3"/>
  <c r="D110" i="3"/>
  <c r="D111" i="3"/>
  <c r="D112" i="3"/>
  <c r="D113" i="3"/>
  <c r="D114" i="3"/>
  <c r="J114" i="3" s="1"/>
  <c r="D115" i="3"/>
  <c r="D116" i="3"/>
  <c r="D117" i="3"/>
  <c r="D118" i="3"/>
  <c r="D119" i="3"/>
  <c r="D120" i="3"/>
  <c r="D121" i="3"/>
  <c r="D122" i="3"/>
  <c r="J122" i="3" s="1"/>
  <c r="D123" i="3"/>
  <c r="D124" i="3"/>
  <c r="D125" i="3"/>
  <c r="D126" i="3"/>
  <c r="D127" i="3"/>
  <c r="D128" i="3"/>
  <c r="D129" i="3"/>
  <c r="D130" i="3"/>
  <c r="J130" i="3" s="1"/>
  <c r="D131" i="3"/>
  <c r="D132" i="3"/>
  <c r="D133" i="3"/>
  <c r="D134" i="3"/>
  <c r="D135" i="3"/>
  <c r="D136" i="3"/>
  <c r="D137" i="3"/>
  <c r="D138" i="3"/>
  <c r="J138" i="3" s="1"/>
  <c r="D139" i="3"/>
  <c r="D140" i="3"/>
  <c r="D141" i="3"/>
  <c r="D142" i="3"/>
  <c r="D143" i="3"/>
  <c r="D144" i="3"/>
  <c r="D145" i="3"/>
  <c r="D146" i="3"/>
  <c r="J146" i="3" s="1"/>
  <c r="D147" i="3"/>
  <c r="D148" i="3"/>
  <c r="D149" i="3"/>
  <c r="D150" i="3"/>
  <c r="D151" i="3"/>
  <c r="D152" i="3"/>
  <c r="D153" i="3"/>
  <c r="D154" i="3"/>
  <c r="J154" i="3" s="1"/>
  <c r="D155" i="3"/>
  <c r="D156" i="3"/>
  <c r="D157" i="3"/>
  <c r="D158" i="3"/>
  <c r="D159" i="3"/>
  <c r="D160" i="3"/>
  <c r="D161" i="3"/>
  <c r="D162" i="3"/>
  <c r="J162" i="3" s="1"/>
  <c r="D163" i="3"/>
  <c r="D164" i="3"/>
  <c r="D165" i="3"/>
  <c r="D166" i="3"/>
  <c r="D167" i="3"/>
  <c r="D168" i="3"/>
  <c r="D169" i="3"/>
  <c r="D170" i="3"/>
  <c r="J170" i="3" s="1"/>
  <c r="D171" i="3"/>
  <c r="D172" i="3"/>
  <c r="D173" i="3"/>
  <c r="D174" i="3"/>
  <c r="D175" i="3"/>
  <c r="D176" i="3"/>
  <c r="D177" i="3"/>
  <c r="D178" i="3"/>
  <c r="J178" i="3" s="1"/>
  <c r="D179" i="3"/>
  <c r="D180" i="3"/>
  <c r="D181" i="3"/>
  <c r="D182" i="3"/>
  <c r="D183" i="3"/>
  <c r="D184" i="3"/>
  <c r="D185" i="3"/>
  <c r="D186" i="3"/>
  <c r="J186" i="3" s="1"/>
  <c r="D187" i="3"/>
  <c r="D188" i="3"/>
  <c r="D189" i="3"/>
  <c r="D190" i="3"/>
  <c r="D191" i="3"/>
  <c r="D192" i="3"/>
  <c r="D193" i="3"/>
  <c r="D194" i="3"/>
  <c r="J194" i="3" s="1"/>
  <c r="D195" i="3"/>
  <c r="D196" i="3"/>
  <c r="D197" i="3"/>
  <c r="D198" i="3"/>
  <c r="D199" i="3"/>
  <c r="D200" i="3"/>
  <c r="D201" i="3"/>
  <c r="D202" i="3"/>
  <c r="J202" i="3" s="1"/>
  <c r="D203" i="3"/>
  <c r="D204" i="3"/>
  <c r="D205" i="3"/>
  <c r="D206" i="3"/>
  <c r="D207" i="3"/>
  <c r="D208" i="3"/>
  <c r="D209" i="3"/>
  <c r="D210" i="3"/>
  <c r="J210" i="3" s="1"/>
  <c r="D211" i="3"/>
  <c r="D212" i="3"/>
  <c r="D213" i="3"/>
  <c r="D214" i="3"/>
  <c r="D215" i="3"/>
  <c r="D216" i="3"/>
  <c r="D217" i="3"/>
  <c r="D218" i="3"/>
  <c r="J218" i="3" s="1"/>
  <c r="D219" i="3"/>
  <c r="D220" i="3"/>
  <c r="D221" i="3"/>
  <c r="D222" i="3"/>
  <c r="D223" i="3"/>
  <c r="D224" i="3"/>
  <c r="D225" i="3"/>
  <c r="D226" i="3"/>
  <c r="J226" i="3" s="1"/>
  <c r="D227" i="3"/>
  <c r="D228" i="3"/>
  <c r="D229" i="3"/>
  <c r="D230" i="3"/>
  <c r="D231" i="3"/>
  <c r="D232" i="3"/>
  <c r="D233" i="3"/>
  <c r="D234" i="3"/>
  <c r="J234" i="3" s="1"/>
  <c r="D235" i="3"/>
  <c r="D236" i="3"/>
  <c r="D237" i="3"/>
  <c r="D238" i="3"/>
  <c r="D239" i="3"/>
  <c r="D240" i="3"/>
  <c r="D241" i="3"/>
  <c r="D242" i="3"/>
  <c r="J242" i="3" s="1"/>
  <c r="D243" i="3"/>
  <c r="D244" i="3"/>
  <c r="D245" i="3"/>
  <c r="D246" i="3"/>
  <c r="D247" i="3"/>
  <c r="D248" i="3"/>
  <c r="D249" i="3"/>
  <c r="D250" i="3"/>
  <c r="J250" i="3" s="1"/>
  <c r="D251" i="3"/>
  <c r="D252" i="3"/>
  <c r="D253" i="3"/>
  <c r="D254" i="3"/>
  <c r="D255" i="3"/>
  <c r="D256" i="3"/>
  <c r="D257" i="3"/>
  <c r="D258" i="3"/>
  <c r="J258" i="3" s="1"/>
  <c r="D259" i="3"/>
  <c r="D260" i="3"/>
  <c r="D261" i="3"/>
  <c r="D262" i="3"/>
  <c r="D263" i="3"/>
  <c r="D264" i="3"/>
  <c r="D265" i="3"/>
  <c r="D266" i="3"/>
  <c r="J266" i="3" s="1"/>
  <c r="D267" i="3"/>
  <c r="D268" i="3"/>
  <c r="D269" i="3"/>
  <c r="D270" i="3"/>
  <c r="D271" i="3"/>
  <c r="D272" i="3"/>
  <c r="D273" i="3"/>
  <c r="D274" i="3"/>
  <c r="J274" i="3" s="1"/>
  <c r="D275" i="3"/>
  <c r="D276" i="3"/>
  <c r="D277" i="3"/>
  <c r="D278" i="3"/>
  <c r="D279" i="3"/>
  <c r="D280" i="3"/>
  <c r="D281" i="3"/>
  <c r="D282" i="3"/>
  <c r="J282" i="3" s="1"/>
  <c r="D283" i="3"/>
  <c r="D284" i="3"/>
  <c r="D285" i="3"/>
  <c r="D286" i="3"/>
  <c r="D287" i="3"/>
  <c r="D288" i="3"/>
  <c r="D289" i="3"/>
  <c r="D290" i="3"/>
  <c r="J290" i="3" s="1"/>
  <c r="D291" i="3"/>
  <c r="D292" i="3"/>
  <c r="D293" i="3"/>
  <c r="D294" i="3"/>
  <c r="D295" i="3"/>
  <c r="D296" i="3"/>
  <c r="D297" i="3"/>
  <c r="D298" i="3"/>
  <c r="J298" i="3" s="1"/>
  <c r="D299" i="3"/>
  <c r="D300" i="3"/>
  <c r="D301" i="3"/>
  <c r="D302" i="3"/>
  <c r="D303" i="3"/>
  <c r="D304" i="3"/>
  <c r="D305" i="3"/>
  <c r="D306" i="3"/>
  <c r="J306" i="3" s="1"/>
  <c r="D307" i="3"/>
  <c r="D308" i="3"/>
  <c r="D309" i="3"/>
  <c r="D310" i="3"/>
  <c r="D311" i="3"/>
  <c r="D312" i="3"/>
  <c r="D313" i="3"/>
  <c r="D314" i="3"/>
  <c r="J314" i="3" s="1"/>
  <c r="D315" i="3"/>
  <c r="D316" i="3"/>
  <c r="D317" i="3"/>
  <c r="D318" i="3"/>
  <c r="D319" i="3"/>
  <c r="D320" i="3"/>
  <c r="D321" i="3"/>
  <c r="D322" i="3"/>
  <c r="J322" i="3" s="1"/>
  <c r="D323" i="3"/>
  <c r="D324" i="3"/>
  <c r="D325" i="3"/>
  <c r="D326" i="3"/>
  <c r="D327" i="3"/>
  <c r="D328" i="3"/>
  <c r="D329" i="3"/>
  <c r="D330" i="3"/>
  <c r="J330" i="3" s="1"/>
  <c r="D331" i="3"/>
  <c r="D332" i="3"/>
  <c r="D333" i="3"/>
  <c r="D334" i="3"/>
  <c r="D335" i="3"/>
  <c r="D336" i="3"/>
  <c r="D337" i="3"/>
  <c r="D338" i="3"/>
  <c r="J338" i="3" s="1"/>
  <c r="D339" i="3"/>
  <c r="D340" i="3"/>
  <c r="D341" i="3"/>
  <c r="D342" i="3"/>
  <c r="D343" i="3"/>
  <c r="D344" i="3"/>
  <c r="D345" i="3"/>
  <c r="D346" i="3"/>
  <c r="J346" i="3" s="1"/>
  <c r="D347" i="3"/>
  <c r="D348" i="3"/>
  <c r="D349" i="3"/>
  <c r="D350" i="3"/>
  <c r="D351" i="3"/>
  <c r="D352" i="3"/>
  <c r="D353" i="3"/>
  <c r="D354" i="3"/>
  <c r="J354" i="3" s="1"/>
  <c r="D355" i="3"/>
  <c r="D356" i="3"/>
  <c r="D357" i="3"/>
  <c r="D358" i="3"/>
  <c r="D359" i="3"/>
  <c r="D360" i="3"/>
  <c r="D361" i="3"/>
  <c r="D362" i="3"/>
  <c r="J362" i="3" s="1"/>
  <c r="D363" i="3"/>
  <c r="D364" i="3"/>
  <c r="D365" i="3"/>
  <c r="D366" i="3"/>
  <c r="D367" i="3"/>
  <c r="D368" i="3"/>
  <c r="D369" i="3"/>
  <c r="D370" i="3"/>
  <c r="J370" i="3" s="1"/>
  <c r="D371" i="3"/>
  <c r="D372" i="3"/>
  <c r="D373" i="3"/>
  <c r="D2" i="3"/>
  <c r="J2" i="3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J373" i="3"/>
  <c r="H373" i="3"/>
  <c r="E373" i="3"/>
  <c r="C373" i="3"/>
  <c r="B373" i="3"/>
  <c r="A373" i="3"/>
  <c r="J372" i="3"/>
  <c r="H372" i="3"/>
  <c r="E372" i="3"/>
  <c r="C372" i="3"/>
  <c r="B372" i="3"/>
  <c r="A372" i="3"/>
  <c r="J371" i="3"/>
  <c r="H371" i="3"/>
  <c r="E371" i="3"/>
  <c r="C371" i="3"/>
  <c r="B371" i="3"/>
  <c r="A371" i="3"/>
  <c r="H370" i="3"/>
  <c r="E370" i="3"/>
  <c r="C370" i="3"/>
  <c r="B370" i="3"/>
  <c r="A370" i="3"/>
  <c r="J369" i="3"/>
  <c r="H369" i="3"/>
  <c r="E369" i="3"/>
  <c r="C369" i="3"/>
  <c r="B369" i="3"/>
  <c r="A369" i="3"/>
  <c r="J368" i="3"/>
  <c r="H368" i="3"/>
  <c r="E368" i="3"/>
  <c r="C368" i="3"/>
  <c r="B368" i="3"/>
  <c r="A368" i="3"/>
  <c r="J367" i="3"/>
  <c r="H367" i="3"/>
  <c r="E367" i="3"/>
  <c r="C367" i="3"/>
  <c r="B367" i="3"/>
  <c r="A367" i="3"/>
  <c r="J366" i="3"/>
  <c r="H366" i="3"/>
  <c r="E366" i="3"/>
  <c r="C366" i="3"/>
  <c r="B366" i="3"/>
  <c r="A366" i="3"/>
  <c r="J365" i="3"/>
  <c r="H365" i="3"/>
  <c r="E365" i="3"/>
  <c r="C365" i="3"/>
  <c r="B365" i="3"/>
  <c r="A365" i="3"/>
  <c r="J364" i="3"/>
  <c r="H364" i="3"/>
  <c r="E364" i="3"/>
  <c r="C364" i="3"/>
  <c r="B364" i="3"/>
  <c r="A364" i="3"/>
  <c r="J363" i="3"/>
  <c r="H363" i="3"/>
  <c r="E363" i="3"/>
  <c r="C363" i="3"/>
  <c r="B363" i="3"/>
  <c r="A363" i="3"/>
  <c r="H362" i="3"/>
  <c r="E362" i="3"/>
  <c r="C362" i="3"/>
  <c r="B362" i="3"/>
  <c r="A362" i="3"/>
  <c r="J361" i="3"/>
  <c r="H361" i="3"/>
  <c r="E361" i="3"/>
  <c r="C361" i="3"/>
  <c r="B361" i="3"/>
  <c r="A361" i="3"/>
  <c r="J360" i="3"/>
  <c r="H360" i="3"/>
  <c r="E360" i="3"/>
  <c r="C360" i="3"/>
  <c r="B360" i="3"/>
  <c r="A360" i="3"/>
  <c r="J359" i="3"/>
  <c r="H359" i="3"/>
  <c r="E359" i="3"/>
  <c r="C359" i="3"/>
  <c r="B359" i="3"/>
  <c r="A359" i="3"/>
  <c r="J358" i="3"/>
  <c r="H358" i="3"/>
  <c r="E358" i="3"/>
  <c r="C358" i="3"/>
  <c r="B358" i="3"/>
  <c r="A358" i="3"/>
  <c r="J357" i="3"/>
  <c r="H357" i="3"/>
  <c r="E357" i="3"/>
  <c r="C357" i="3"/>
  <c r="B357" i="3"/>
  <c r="A357" i="3"/>
  <c r="J356" i="3"/>
  <c r="H356" i="3"/>
  <c r="E356" i="3"/>
  <c r="C356" i="3"/>
  <c r="B356" i="3"/>
  <c r="A356" i="3"/>
  <c r="J355" i="3"/>
  <c r="H355" i="3"/>
  <c r="E355" i="3"/>
  <c r="C355" i="3"/>
  <c r="B355" i="3"/>
  <c r="A355" i="3"/>
  <c r="H354" i="3"/>
  <c r="E354" i="3"/>
  <c r="C354" i="3"/>
  <c r="B354" i="3"/>
  <c r="A354" i="3"/>
  <c r="J353" i="3"/>
  <c r="H353" i="3"/>
  <c r="E353" i="3"/>
  <c r="C353" i="3"/>
  <c r="B353" i="3"/>
  <c r="A353" i="3"/>
  <c r="J352" i="3"/>
  <c r="H352" i="3"/>
  <c r="E352" i="3"/>
  <c r="C352" i="3"/>
  <c r="B352" i="3"/>
  <c r="A352" i="3"/>
  <c r="J351" i="3"/>
  <c r="H351" i="3"/>
  <c r="E351" i="3"/>
  <c r="C351" i="3"/>
  <c r="B351" i="3"/>
  <c r="A351" i="3"/>
  <c r="J350" i="3"/>
  <c r="H350" i="3"/>
  <c r="E350" i="3"/>
  <c r="C350" i="3"/>
  <c r="B350" i="3"/>
  <c r="A350" i="3"/>
  <c r="J349" i="3"/>
  <c r="H349" i="3"/>
  <c r="E349" i="3"/>
  <c r="C349" i="3"/>
  <c r="B349" i="3"/>
  <c r="A349" i="3"/>
  <c r="J348" i="3"/>
  <c r="H348" i="3"/>
  <c r="E348" i="3"/>
  <c r="C348" i="3"/>
  <c r="B348" i="3"/>
  <c r="A348" i="3"/>
  <c r="J347" i="3"/>
  <c r="H347" i="3"/>
  <c r="E347" i="3"/>
  <c r="C347" i="3"/>
  <c r="B347" i="3"/>
  <c r="A347" i="3"/>
  <c r="H346" i="3"/>
  <c r="E346" i="3"/>
  <c r="C346" i="3"/>
  <c r="B346" i="3"/>
  <c r="A346" i="3"/>
  <c r="J345" i="3"/>
  <c r="H345" i="3"/>
  <c r="E345" i="3"/>
  <c r="C345" i="3"/>
  <c r="B345" i="3"/>
  <c r="A345" i="3"/>
  <c r="J344" i="3"/>
  <c r="H344" i="3"/>
  <c r="E344" i="3"/>
  <c r="C344" i="3"/>
  <c r="B344" i="3"/>
  <c r="A344" i="3"/>
  <c r="J343" i="3"/>
  <c r="H343" i="3"/>
  <c r="E343" i="3"/>
  <c r="C343" i="3"/>
  <c r="B343" i="3"/>
  <c r="A343" i="3"/>
  <c r="J342" i="3"/>
  <c r="H342" i="3"/>
  <c r="E342" i="3"/>
  <c r="C342" i="3"/>
  <c r="B342" i="3"/>
  <c r="A342" i="3"/>
  <c r="J341" i="3"/>
  <c r="H341" i="3"/>
  <c r="E341" i="3"/>
  <c r="C341" i="3"/>
  <c r="B341" i="3"/>
  <c r="A341" i="3"/>
  <c r="J340" i="3"/>
  <c r="H340" i="3"/>
  <c r="E340" i="3"/>
  <c r="C340" i="3"/>
  <c r="B340" i="3"/>
  <c r="A340" i="3"/>
  <c r="J339" i="3"/>
  <c r="H339" i="3"/>
  <c r="E339" i="3"/>
  <c r="C339" i="3"/>
  <c r="B339" i="3"/>
  <c r="A339" i="3"/>
  <c r="H338" i="3"/>
  <c r="E338" i="3"/>
  <c r="C338" i="3"/>
  <c r="B338" i="3"/>
  <c r="A338" i="3"/>
  <c r="J337" i="3"/>
  <c r="H337" i="3"/>
  <c r="E337" i="3"/>
  <c r="C337" i="3"/>
  <c r="B337" i="3"/>
  <c r="A337" i="3"/>
  <c r="J336" i="3"/>
  <c r="H336" i="3"/>
  <c r="E336" i="3"/>
  <c r="C336" i="3"/>
  <c r="B336" i="3"/>
  <c r="A336" i="3"/>
  <c r="J335" i="3"/>
  <c r="H335" i="3"/>
  <c r="E335" i="3"/>
  <c r="C335" i="3"/>
  <c r="B335" i="3"/>
  <c r="A335" i="3"/>
  <c r="J334" i="3"/>
  <c r="H334" i="3"/>
  <c r="E334" i="3"/>
  <c r="C334" i="3"/>
  <c r="B334" i="3"/>
  <c r="A334" i="3"/>
  <c r="J333" i="3"/>
  <c r="H333" i="3"/>
  <c r="E333" i="3"/>
  <c r="C333" i="3"/>
  <c r="B333" i="3"/>
  <c r="A333" i="3"/>
  <c r="J332" i="3"/>
  <c r="H332" i="3"/>
  <c r="E332" i="3"/>
  <c r="C332" i="3"/>
  <c r="B332" i="3"/>
  <c r="A332" i="3"/>
  <c r="J331" i="3"/>
  <c r="H331" i="3"/>
  <c r="E331" i="3"/>
  <c r="C331" i="3"/>
  <c r="B331" i="3"/>
  <c r="A331" i="3"/>
  <c r="H330" i="3"/>
  <c r="E330" i="3"/>
  <c r="C330" i="3"/>
  <c r="B330" i="3"/>
  <c r="A330" i="3"/>
  <c r="J329" i="3"/>
  <c r="H329" i="3"/>
  <c r="E329" i="3"/>
  <c r="C329" i="3"/>
  <c r="B329" i="3"/>
  <c r="A329" i="3"/>
  <c r="J328" i="3"/>
  <c r="H328" i="3"/>
  <c r="E328" i="3"/>
  <c r="C328" i="3"/>
  <c r="B328" i="3"/>
  <c r="A328" i="3"/>
  <c r="J327" i="3"/>
  <c r="H327" i="3"/>
  <c r="E327" i="3"/>
  <c r="C327" i="3"/>
  <c r="B327" i="3"/>
  <c r="A327" i="3"/>
  <c r="J326" i="3"/>
  <c r="H326" i="3"/>
  <c r="E326" i="3"/>
  <c r="C326" i="3"/>
  <c r="B326" i="3"/>
  <c r="A326" i="3"/>
  <c r="J325" i="3"/>
  <c r="H325" i="3"/>
  <c r="E325" i="3"/>
  <c r="C325" i="3"/>
  <c r="B325" i="3"/>
  <c r="A325" i="3"/>
  <c r="J324" i="3"/>
  <c r="H324" i="3"/>
  <c r="E324" i="3"/>
  <c r="C324" i="3"/>
  <c r="B324" i="3"/>
  <c r="A324" i="3"/>
  <c r="J323" i="3"/>
  <c r="H323" i="3"/>
  <c r="E323" i="3"/>
  <c r="C323" i="3"/>
  <c r="B323" i="3"/>
  <c r="A323" i="3"/>
  <c r="H322" i="3"/>
  <c r="E322" i="3"/>
  <c r="C322" i="3"/>
  <c r="B322" i="3"/>
  <c r="A322" i="3"/>
  <c r="J321" i="3"/>
  <c r="H321" i="3"/>
  <c r="E321" i="3"/>
  <c r="C321" i="3"/>
  <c r="B321" i="3"/>
  <c r="A321" i="3"/>
  <c r="J320" i="3"/>
  <c r="H320" i="3"/>
  <c r="E320" i="3"/>
  <c r="C320" i="3"/>
  <c r="B320" i="3"/>
  <c r="A320" i="3"/>
  <c r="J319" i="3"/>
  <c r="H319" i="3"/>
  <c r="E319" i="3"/>
  <c r="C319" i="3"/>
  <c r="B319" i="3"/>
  <c r="A319" i="3"/>
  <c r="J318" i="3"/>
  <c r="H318" i="3"/>
  <c r="E318" i="3"/>
  <c r="C318" i="3"/>
  <c r="B318" i="3"/>
  <c r="A318" i="3"/>
  <c r="J317" i="3"/>
  <c r="H317" i="3"/>
  <c r="E317" i="3"/>
  <c r="C317" i="3"/>
  <c r="B317" i="3"/>
  <c r="A317" i="3"/>
  <c r="J316" i="3"/>
  <c r="H316" i="3"/>
  <c r="E316" i="3"/>
  <c r="C316" i="3"/>
  <c r="B316" i="3"/>
  <c r="A316" i="3"/>
  <c r="J315" i="3"/>
  <c r="H315" i="3"/>
  <c r="E315" i="3"/>
  <c r="C315" i="3"/>
  <c r="B315" i="3"/>
  <c r="A315" i="3"/>
  <c r="H314" i="3"/>
  <c r="E314" i="3"/>
  <c r="C314" i="3"/>
  <c r="B314" i="3"/>
  <c r="A314" i="3"/>
  <c r="J313" i="3"/>
  <c r="H313" i="3"/>
  <c r="E313" i="3"/>
  <c r="C313" i="3"/>
  <c r="B313" i="3"/>
  <c r="A313" i="3"/>
  <c r="J312" i="3"/>
  <c r="H312" i="3"/>
  <c r="E312" i="3"/>
  <c r="C312" i="3"/>
  <c r="B312" i="3"/>
  <c r="A312" i="3"/>
  <c r="J311" i="3"/>
  <c r="H311" i="3"/>
  <c r="E311" i="3"/>
  <c r="C311" i="3"/>
  <c r="B311" i="3"/>
  <c r="A311" i="3"/>
  <c r="J310" i="3"/>
  <c r="H310" i="3"/>
  <c r="E310" i="3"/>
  <c r="C310" i="3"/>
  <c r="B310" i="3"/>
  <c r="A310" i="3"/>
  <c r="J309" i="3"/>
  <c r="H309" i="3"/>
  <c r="E309" i="3"/>
  <c r="C309" i="3"/>
  <c r="B309" i="3"/>
  <c r="A309" i="3"/>
  <c r="J308" i="3"/>
  <c r="H308" i="3"/>
  <c r="E308" i="3"/>
  <c r="C308" i="3"/>
  <c r="B308" i="3"/>
  <c r="A308" i="3"/>
  <c r="J307" i="3"/>
  <c r="H307" i="3"/>
  <c r="E307" i="3"/>
  <c r="C307" i="3"/>
  <c r="B307" i="3"/>
  <c r="A307" i="3"/>
  <c r="H306" i="3"/>
  <c r="E306" i="3"/>
  <c r="C306" i="3"/>
  <c r="B306" i="3"/>
  <c r="A306" i="3"/>
  <c r="J305" i="3"/>
  <c r="H305" i="3"/>
  <c r="E305" i="3"/>
  <c r="C305" i="3"/>
  <c r="B305" i="3"/>
  <c r="A305" i="3"/>
  <c r="J304" i="3"/>
  <c r="H304" i="3"/>
  <c r="E304" i="3"/>
  <c r="C304" i="3"/>
  <c r="B304" i="3"/>
  <c r="A304" i="3"/>
  <c r="J303" i="3"/>
  <c r="H303" i="3"/>
  <c r="E303" i="3"/>
  <c r="C303" i="3"/>
  <c r="B303" i="3"/>
  <c r="A303" i="3"/>
  <c r="J302" i="3"/>
  <c r="H302" i="3"/>
  <c r="E302" i="3"/>
  <c r="C302" i="3"/>
  <c r="B302" i="3"/>
  <c r="A302" i="3"/>
  <c r="J301" i="3"/>
  <c r="H301" i="3"/>
  <c r="E301" i="3"/>
  <c r="C301" i="3"/>
  <c r="B301" i="3"/>
  <c r="A301" i="3"/>
  <c r="J300" i="3"/>
  <c r="H300" i="3"/>
  <c r="E300" i="3"/>
  <c r="C300" i="3"/>
  <c r="B300" i="3"/>
  <c r="A300" i="3"/>
  <c r="J299" i="3"/>
  <c r="H299" i="3"/>
  <c r="E299" i="3"/>
  <c r="C299" i="3"/>
  <c r="B299" i="3"/>
  <c r="A299" i="3"/>
  <c r="H298" i="3"/>
  <c r="E298" i="3"/>
  <c r="C298" i="3"/>
  <c r="B298" i="3"/>
  <c r="A298" i="3"/>
  <c r="J297" i="3"/>
  <c r="H297" i="3"/>
  <c r="E297" i="3"/>
  <c r="C297" i="3"/>
  <c r="B297" i="3"/>
  <c r="A297" i="3"/>
  <c r="J296" i="3"/>
  <c r="H296" i="3"/>
  <c r="E296" i="3"/>
  <c r="C296" i="3"/>
  <c r="B296" i="3"/>
  <c r="A296" i="3"/>
  <c r="J295" i="3"/>
  <c r="H295" i="3"/>
  <c r="E295" i="3"/>
  <c r="C295" i="3"/>
  <c r="B295" i="3"/>
  <c r="A295" i="3"/>
  <c r="J294" i="3"/>
  <c r="H294" i="3"/>
  <c r="E294" i="3"/>
  <c r="C294" i="3"/>
  <c r="B294" i="3"/>
  <c r="A294" i="3"/>
  <c r="J293" i="3"/>
  <c r="H293" i="3"/>
  <c r="E293" i="3"/>
  <c r="C293" i="3"/>
  <c r="B293" i="3"/>
  <c r="A293" i="3"/>
  <c r="J292" i="3"/>
  <c r="H292" i="3"/>
  <c r="E292" i="3"/>
  <c r="C292" i="3"/>
  <c r="B292" i="3"/>
  <c r="A292" i="3"/>
  <c r="J291" i="3"/>
  <c r="H291" i="3"/>
  <c r="E291" i="3"/>
  <c r="C291" i="3"/>
  <c r="B291" i="3"/>
  <c r="A291" i="3"/>
  <c r="H290" i="3"/>
  <c r="E290" i="3"/>
  <c r="C290" i="3"/>
  <c r="B290" i="3"/>
  <c r="A290" i="3"/>
  <c r="J289" i="3"/>
  <c r="H289" i="3"/>
  <c r="E289" i="3"/>
  <c r="C289" i="3"/>
  <c r="B289" i="3"/>
  <c r="A289" i="3"/>
  <c r="J288" i="3"/>
  <c r="H288" i="3"/>
  <c r="E288" i="3"/>
  <c r="C288" i="3"/>
  <c r="B288" i="3"/>
  <c r="A288" i="3"/>
  <c r="J287" i="3"/>
  <c r="H287" i="3"/>
  <c r="E287" i="3"/>
  <c r="C287" i="3"/>
  <c r="B287" i="3"/>
  <c r="A287" i="3"/>
  <c r="J286" i="3"/>
  <c r="H286" i="3"/>
  <c r="E286" i="3"/>
  <c r="C286" i="3"/>
  <c r="B286" i="3"/>
  <c r="A286" i="3"/>
  <c r="J285" i="3"/>
  <c r="H285" i="3"/>
  <c r="E285" i="3"/>
  <c r="C285" i="3"/>
  <c r="B285" i="3"/>
  <c r="A285" i="3"/>
  <c r="J284" i="3"/>
  <c r="H284" i="3"/>
  <c r="E284" i="3"/>
  <c r="C284" i="3"/>
  <c r="B284" i="3"/>
  <c r="A284" i="3"/>
  <c r="J283" i="3"/>
  <c r="H283" i="3"/>
  <c r="E283" i="3"/>
  <c r="C283" i="3"/>
  <c r="B283" i="3"/>
  <c r="A283" i="3"/>
  <c r="H282" i="3"/>
  <c r="E282" i="3"/>
  <c r="C282" i="3"/>
  <c r="B282" i="3"/>
  <c r="A282" i="3"/>
  <c r="J281" i="3"/>
  <c r="H281" i="3"/>
  <c r="E281" i="3"/>
  <c r="C281" i="3"/>
  <c r="B281" i="3"/>
  <c r="A281" i="3"/>
  <c r="J280" i="3"/>
  <c r="H280" i="3"/>
  <c r="E280" i="3"/>
  <c r="C280" i="3"/>
  <c r="B280" i="3"/>
  <c r="A280" i="3"/>
  <c r="J279" i="3"/>
  <c r="H279" i="3"/>
  <c r="E279" i="3"/>
  <c r="C279" i="3"/>
  <c r="B279" i="3"/>
  <c r="A279" i="3"/>
  <c r="J278" i="3"/>
  <c r="H278" i="3"/>
  <c r="E278" i="3"/>
  <c r="C278" i="3"/>
  <c r="B278" i="3"/>
  <c r="A278" i="3"/>
  <c r="J277" i="3"/>
  <c r="H277" i="3"/>
  <c r="E277" i="3"/>
  <c r="C277" i="3"/>
  <c r="B277" i="3"/>
  <c r="A277" i="3"/>
  <c r="J276" i="3"/>
  <c r="H276" i="3"/>
  <c r="E276" i="3"/>
  <c r="C276" i="3"/>
  <c r="B276" i="3"/>
  <c r="A276" i="3"/>
  <c r="J275" i="3"/>
  <c r="H275" i="3"/>
  <c r="E275" i="3"/>
  <c r="C275" i="3"/>
  <c r="B275" i="3"/>
  <c r="A275" i="3"/>
  <c r="H274" i="3"/>
  <c r="E274" i="3"/>
  <c r="C274" i="3"/>
  <c r="B274" i="3"/>
  <c r="A274" i="3"/>
  <c r="J273" i="3"/>
  <c r="H273" i="3"/>
  <c r="E273" i="3"/>
  <c r="C273" i="3"/>
  <c r="B273" i="3"/>
  <c r="A273" i="3"/>
  <c r="J272" i="3"/>
  <c r="H272" i="3"/>
  <c r="E272" i="3"/>
  <c r="C272" i="3"/>
  <c r="B272" i="3"/>
  <c r="A272" i="3"/>
  <c r="J271" i="3"/>
  <c r="H271" i="3"/>
  <c r="E271" i="3"/>
  <c r="C271" i="3"/>
  <c r="B271" i="3"/>
  <c r="A271" i="3"/>
  <c r="J270" i="3"/>
  <c r="H270" i="3"/>
  <c r="E270" i="3"/>
  <c r="C270" i="3"/>
  <c r="B270" i="3"/>
  <c r="A270" i="3"/>
  <c r="J269" i="3"/>
  <c r="H269" i="3"/>
  <c r="E269" i="3"/>
  <c r="C269" i="3"/>
  <c r="B269" i="3"/>
  <c r="A269" i="3"/>
  <c r="J268" i="3"/>
  <c r="H268" i="3"/>
  <c r="E268" i="3"/>
  <c r="C268" i="3"/>
  <c r="B268" i="3"/>
  <c r="A268" i="3"/>
  <c r="J267" i="3"/>
  <c r="H267" i="3"/>
  <c r="E267" i="3"/>
  <c r="C267" i="3"/>
  <c r="B267" i="3"/>
  <c r="A267" i="3"/>
  <c r="H266" i="3"/>
  <c r="E266" i="3"/>
  <c r="C266" i="3"/>
  <c r="B266" i="3"/>
  <c r="A266" i="3"/>
  <c r="J265" i="3"/>
  <c r="H265" i="3"/>
  <c r="E265" i="3"/>
  <c r="C265" i="3"/>
  <c r="B265" i="3"/>
  <c r="A265" i="3"/>
  <c r="J264" i="3"/>
  <c r="H264" i="3"/>
  <c r="E264" i="3"/>
  <c r="C264" i="3"/>
  <c r="B264" i="3"/>
  <c r="A264" i="3"/>
  <c r="J263" i="3"/>
  <c r="H263" i="3"/>
  <c r="E263" i="3"/>
  <c r="C263" i="3"/>
  <c r="B263" i="3"/>
  <c r="A263" i="3"/>
  <c r="J262" i="3"/>
  <c r="H262" i="3"/>
  <c r="E262" i="3"/>
  <c r="C262" i="3"/>
  <c r="B262" i="3"/>
  <c r="A262" i="3"/>
  <c r="J261" i="3"/>
  <c r="H261" i="3"/>
  <c r="E261" i="3"/>
  <c r="C261" i="3"/>
  <c r="B261" i="3"/>
  <c r="A261" i="3"/>
  <c r="J260" i="3"/>
  <c r="H260" i="3"/>
  <c r="E260" i="3"/>
  <c r="C260" i="3"/>
  <c r="B260" i="3"/>
  <c r="A260" i="3"/>
  <c r="J259" i="3"/>
  <c r="H259" i="3"/>
  <c r="E259" i="3"/>
  <c r="C259" i="3"/>
  <c r="B259" i="3"/>
  <c r="A259" i="3"/>
  <c r="H258" i="3"/>
  <c r="E258" i="3"/>
  <c r="C258" i="3"/>
  <c r="B258" i="3"/>
  <c r="A258" i="3"/>
  <c r="J257" i="3"/>
  <c r="H257" i="3"/>
  <c r="E257" i="3"/>
  <c r="C257" i="3"/>
  <c r="B257" i="3"/>
  <c r="A257" i="3"/>
  <c r="J256" i="3"/>
  <c r="H256" i="3"/>
  <c r="E256" i="3"/>
  <c r="C256" i="3"/>
  <c r="B256" i="3"/>
  <c r="A256" i="3"/>
  <c r="J255" i="3"/>
  <c r="H255" i="3"/>
  <c r="E255" i="3"/>
  <c r="C255" i="3"/>
  <c r="B255" i="3"/>
  <c r="A255" i="3"/>
  <c r="J254" i="3"/>
  <c r="H254" i="3"/>
  <c r="E254" i="3"/>
  <c r="C254" i="3"/>
  <c r="B254" i="3"/>
  <c r="A254" i="3"/>
  <c r="J253" i="3"/>
  <c r="H253" i="3"/>
  <c r="E253" i="3"/>
  <c r="C253" i="3"/>
  <c r="B253" i="3"/>
  <c r="A253" i="3"/>
  <c r="J252" i="3"/>
  <c r="H252" i="3"/>
  <c r="E252" i="3"/>
  <c r="C252" i="3"/>
  <c r="B252" i="3"/>
  <c r="A252" i="3"/>
  <c r="J251" i="3"/>
  <c r="H251" i="3"/>
  <c r="E251" i="3"/>
  <c r="C251" i="3"/>
  <c r="B251" i="3"/>
  <c r="A251" i="3"/>
  <c r="H250" i="3"/>
  <c r="E250" i="3"/>
  <c r="C250" i="3"/>
  <c r="B250" i="3"/>
  <c r="A250" i="3"/>
  <c r="J249" i="3"/>
  <c r="H249" i="3"/>
  <c r="E249" i="3"/>
  <c r="C249" i="3"/>
  <c r="B249" i="3"/>
  <c r="A249" i="3"/>
  <c r="J248" i="3"/>
  <c r="H248" i="3"/>
  <c r="E248" i="3"/>
  <c r="C248" i="3"/>
  <c r="B248" i="3"/>
  <c r="A248" i="3"/>
  <c r="J247" i="3"/>
  <c r="H247" i="3"/>
  <c r="E247" i="3"/>
  <c r="C247" i="3"/>
  <c r="B247" i="3"/>
  <c r="A247" i="3"/>
  <c r="J246" i="3"/>
  <c r="H246" i="3"/>
  <c r="E246" i="3"/>
  <c r="C246" i="3"/>
  <c r="B246" i="3"/>
  <c r="A246" i="3"/>
  <c r="J245" i="3"/>
  <c r="H245" i="3"/>
  <c r="E245" i="3"/>
  <c r="C245" i="3"/>
  <c r="B245" i="3"/>
  <c r="A245" i="3"/>
  <c r="J244" i="3"/>
  <c r="H244" i="3"/>
  <c r="E244" i="3"/>
  <c r="C244" i="3"/>
  <c r="B244" i="3"/>
  <c r="A244" i="3"/>
  <c r="J243" i="3"/>
  <c r="H243" i="3"/>
  <c r="E243" i="3"/>
  <c r="C243" i="3"/>
  <c r="B243" i="3"/>
  <c r="A243" i="3"/>
  <c r="H242" i="3"/>
  <c r="E242" i="3"/>
  <c r="C242" i="3"/>
  <c r="B242" i="3"/>
  <c r="A242" i="3"/>
  <c r="J241" i="3"/>
  <c r="H241" i="3"/>
  <c r="E241" i="3"/>
  <c r="C241" i="3"/>
  <c r="B241" i="3"/>
  <c r="A241" i="3"/>
  <c r="J240" i="3"/>
  <c r="H240" i="3"/>
  <c r="E240" i="3"/>
  <c r="C240" i="3"/>
  <c r="B240" i="3"/>
  <c r="A240" i="3"/>
  <c r="J239" i="3"/>
  <c r="H239" i="3"/>
  <c r="E239" i="3"/>
  <c r="C239" i="3"/>
  <c r="B239" i="3"/>
  <c r="A239" i="3"/>
  <c r="J238" i="3"/>
  <c r="H238" i="3"/>
  <c r="E238" i="3"/>
  <c r="C238" i="3"/>
  <c r="B238" i="3"/>
  <c r="A238" i="3"/>
  <c r="J237" i="3"/>
  <c r="H237" i="3"/>
  <c r="E237" i="3"/>
  <c r="C237" i="3"/>
  <c r="B237" i="3"/>
  <c r="A237" i="3"/>
  <c r="J236" i="3"/>
  <c r="H236" i="3"/>
  <c r="E236" i="3"/>
  <c r="C236" i="3"/>
  <c r="B236" i="3"/>
  <c r="A236" i="3"/>
  <c r="J235" i="3"/>
  <c r="H235" i="3"/>
  <c r="E235" i="3"/>
  <c r="C235" i="3"/>
  <c r="B235" i="3"/>
  <c r="A235" i="3"/>
  <c r="H234" i="3"/>
  <c r="E234" i="3"/>
  <c r="C234" i="3"/>
  <c r="B234" i="3"/>
  <c r="A234" i="3"/>
  <c r="J233" i="3"/>
  <c r="H233" i="3"/>
  <c r="E233" i="3"/>
  <c r="C233" i="3"/>
  <c r="B233" i="3"/>
  <c r="A233" i="3"/>
  <c r="J232" i="3"/>
  <c r="H232" i="3"/>
  <c r="E232" i="3"/>
  <c r="C232" i="3"/>
  <c r="B232" i="3"/>
  <c r="A232" i="3"/>
  <c r="J231" i="3"/>
  <c r="H231" i="3"/>
  <c r="E231" i="3"/>
  <c r="C231" i="3"/>
  <c r="B231" i="3"/>
  <c r="A231" i="3"/>
  <c r="J230" i="3"/>
  <c r="H230" i="3"/>
  <c r="E230" i="3"/>
  <c r="C230" i="3"/>
  <c r="B230" i="3"/>
  <c r="A230" i="3"/>
  <c r="J229" i="3"/>
  <c r="H229" i="3"/>
  <c r="E229" i="3"/>
  <c r="C229" i="3"/>
  <c r="B229" i="3"/>
  <c r="A229" i="3"/>
  <c r="J228" i="3"/>
  <c r="H228" i="3"/>
  <c r="E228" i="3"/>
  <c r="C228" i="3"/>
  <c r="B228" i="3"/>
  <c r="A228" i="3"/>
  <c r="J227" i="3"/>
  <c r="H227" i="3"/>
  <c r="E227" i="3"/>
  <c r="C227" i="3"/>
  <c r="B227" i="3"/>
  <c r="A227" i="3"/>
  <c r="H226" i="3"/>
  <c r="E226" i="3"/>
  <c r="C226" i="3"/>
  <c r="B226" i="3"/>
  <c r="A226" i="3"/>
  <c r="J225" i="3"/>
  <c r="H225" i="3"/>
  <c r="E225" i="3"/>
  <c r="C225" i="3"/>
  <c r="B225" i="3"/>
  <c r="A225" i="3"/>
  <c r="J224" i="3"/>
  <c r="H224" i="3"/>
  <c r="E224" i="3"/>
  <c r="C224" i="3"/>
  <c r="B224" i="3"/>
  <c r="A224" i="3"/>
  <c r="J223" i="3"/>
  <c r="H223" i="3"/>
  <c r="E223" i="3"/>
  <c r="C223" i="3"/>
  <c r="B223" i="3"/>
  <c r="A223" i="3"/>
  <c r="J222" i="3"/>
  <c r="H222" i="3"/>
  <c r="E222" i="3"/>
  <c r="C222" i="3"/>
  <c r="B222" i="3"/>
  <c r="A222" i="3"/>
  <c r="J221" i="3"/>
  <c r="H221" i="3"/>
  <c r="E221" i="3"/>
  <c r="C221" i="3"/>
  <c r="B221" i="3"/>
  <c r="A221" i="3"/>
  <c r="J220" i="3"/>
  <c r="H220" i="3"/>
  <c r="E220" i="3"/>
  <c r="C220" i="3"/>
  <c r="B220" i="3"/>
  <c r="A220" i="3"/>
  <c r="J219" i="3"/>
  <c r="H219" i="3"/>
  <c r="E219" i="3"/>
  <c r="C219" i="3"/>
  <c r="B219" i="3"/>
  <c r="A219" i="3"/>
  <c r="H218" i="3"/>
  <c r="E218" i="3"/>
  <c r="C218" i="3"/>
  <c r="B218" i="3"/>
  <c r="A218" i="3"/>
  <c r="J217" i="3"/>
  <c r="H217" i="3"/>
  <c r="E217" i="3"/>
  <c r="C217" i="3"/>
  <c r="B217" i="3"/>
  <c r="A217" i="3"/>
  <c r="J216" i="3"/>
  <c r="H216" i="3"/>
  <c r="E216" i="3"/>
  <c r="C216" i="3"/>
  <c r="B216" i="3"/>
  <c r="A216" i="3"/>
  <c r="J215" i="3"/>
  <c r="H215" i="3"/>
  <c r="E215" i="3"/>
  <c r="C215" i="3"/>
  <c r="B215" i="3"/>
  <c r="A215" i="3"/>
  <c r="J214" i="3"/>
  <c r="H214" i="3"/>
  <c r="E214" i="3"/>
  <c r="C214" i="3"/>
  <c r="B214" i="3"/>
  <c r="A214" i="3"/>
  <c r="J213" i="3"/>
  <c r="H213" i="3"/>
  <c r="E213" i="3"/>
  <c r="C213" i="3"/>
  <c r="B213" i="3"/>
  <c r="A213" i="3"/>
  <c r="J212" i="3"/>
  <c r="H212" i="3"/>
  <c r="E212" i="3"/>
  <c r="C212" i="3"/>
  <c r="B212" i="3"/>
  <c r="A212" i="3"/>
  <c r="J211" i="3"/>
  <c r="H211" i="3"/>
  <c r="E211" i="3"/>
  <c r="C211" i="3"/>
  <c r="B211" i="3"/>
  <c r="A211" i="3"/>
  <c r="H210" i="3"/>
  <c r="E210" i="3"/>
  <c r="C210" i="3"/>
  <c r="B210" i="3"/>
  <c r="A210" i="3"/>
  <c r="J209" i="3"/>
  <c r="H209" i="3"/>
  <c r="E209" i="3"/>
  <c r="C209" i="3"/>
  <c r="B209" i="3"/>
  <c r="A209" i="3"/>
  <c r="J208" i="3"/>
  <c r="H208" i="3"/>
  <c r="E208" i="3"/>
  <c r="C208" i="3"/>
  <c r="B208" i="3"/>
  <c r="A208" i="3"/>
  <c r="J207" i="3"/>
  <c r="H207" i="3"/>
  <c r="E207" i="3"/>
  <c r="C207" i="3"/>
  <c r="B207" i="3"/>
  <c r="A207" i="3"/>
  <c r="J206" i="3"/>
  <c r="H206" i="3"/>
  <c r="E206" i="3"/>
  <c r="C206" i="3"/>
  <c r="B206" i="3"/>
  <c r="A206" i="3"/>
  <c r="J205" i="3"/>
  <c r="H205" i="3"/>
  <c r="E205" i="3"/>
  <c r="C205" i="3"/>
  <c r="B205" i="3"/>
  <c r="A205" i="3"/>
  <c r="J204" i="3"/>
  <c r="H204" i="3"/>
  <c r="E204" i="3"/>
  <c r="C204" i="3"/>
  <c r="B204" i="3"/>
  <c r="A204" i="3"/>
  <c r="J203" i="3"/>
  <c r="H203" i="3"/>
  <c r="E203" i="3"/>
  <c r="C203" i="3"/>
  <c r="B203" i="3"/>
  <c r="A203" i="3"/>
  <c r="H202" i="3"/>
  <c r="E202" i="3"/>
  <c r="C202" i="3"/>
  <c r="B202" i="3"/>
  <c r="A202" i="3"/>
  <c r="J201" i="3"/>
  <c r="H201" i="3"/>
  <c r="E201" i="3"/>
  <c r="C201" i="3"/>
  <c r="B201" i="3"/>
  <c r="A201" i="3"/>
  <c r="J200" i="3"/>
  <c r="H200" i="3"/>
  <c r="E200" i="3"/>
  <c r="C200" i="3"/>
  <c r="B200" i="3"/>
  <c r="A200" i="3"/>
  <c r="J199" i="3"/>
  <c r="H199" i="3"/>
  <c r="E199" i="3"/>
  <c r="C199" i="3"/>
  <c r="B199" i="3"/>
  <c r="A199" i="3"/>
  <c r="J198" i="3"/>
  <c r="H198" i="3"/>
  <c r="E198" i="3"/>
  <c r="C198" i="3"/>
  <c r="B198" i="3"/>
  <c r="A198" i="3"/>
  <c r="J197" i="3"/>
  <c r="H197" i="3"/>
  <c r="E197" i="3"/>
  <c r="C197" i="3"/>
  <c r="B197" i="3"/>
  <c r="A197" i="3"/>
  <c r="J196" i="3"/>
  <c r="H196" i="3"/>
  <c r="E196" i="3"/>
  <c r="C196" i="3"/>
  <c r="B196" i="3"/>
  <c r="A196" i="3"/>
  <c r="J195" i="3"/>
  <c r="H195" i="3"/>
  <c r="E195" i="3"/>
  <c r="C195" i="3"/>
  <c r="B195" i="3"/>
  <c r="A195" i="3"/>
  <c r="H194" i="3"/>
  <c r="E194" i="3"/>
  <c r="C194" i="3"/>
  <c r="B194" i="3"/>
  <c r="A194" i="3"/>
  <c r="J193" i="3"/>
  <c r="H193" i="3"/>
  <c r="E193" i="3"/>
  <c r="C193" i="3"/>
  <c r="B193" i="3"/>
  <c r="A193" i="3"/>
  <c r="J192" i="3"/>
  <c r="H192" i="3"/>
  <c r="E192" i="3"/>
  <c r="C192" i="3"/>
  <c r="B192" i="3"/>
  <c r="A192" i="3"/>
  <c r="J191" i="3"/>
  <c r="H191" i="3"/>
  <c r="E191" i="3"/>
  <c r="C191" i="3"/>
  <c r="B191" i="3"/>
  <c r="A191" i="3"/>
  <c r="J190" i="3"/>
  <c r="H190" i="3"/>
  <c r="E190" i="3"/>
  <c r="C190" i="3"/>
  <c r="B190" i="3"/>
  <c r="A190" i="3"/>
  <c r="J189" i="3"/>
  <c r="H189" i="3"/>
  <c r="E189" i="3"/>
  <c r="C189" i="3"/>
  <c r="B189" i="3"/>
  <c r="A189" i="3"/>
  <c r="J188" i="3"/>
  <c r="H188" i="3"/>
  <c r="E188" i="3"/>
  <c r="C188" i="3"/>
  <c r="B188" i="3"/>
  <c r="A188" i="3"/>
  <c r="J187" i="3"/>
  <c r="H187" i="3"/>
  <c r="E187" i="3"/>
  <c r="C187" i="3"/>
  <c r="B187" i="3"/>
  <c r="A187" i="3"/>
  <c r="H186" i="3"/>
  <c r="E186" i="3"/>
  <c r="C186" i="3"/>
  <c r="B186" i="3"/>
  <c r="A186" i="3"/>
  <c r="J185" i="3"/>
  <c r="H185" i="3"/>
  <c r="E185" i="3"/>
  <c r="C185" i="3"/>
  <c r="B185" i="3"/>
  <c r="A185" i="3"/>
  <c r="J184" i="3"/>
  <c r="H184" i="3"/>
  <c r="E184" i="3"/>
  <c r="C184" i="3"/>
  <c r="B184" i="3"/>
  <c r="A184" i="3"/>
  <c r="J183" i="3"/>
  <c r="H183" i="3"/>
  <c r="E183" i="3"/>
  <c r="C183" i="3"/>
  <c r="B183" i="3"/>
  <c r="A183" i="3"/>
  <c r="J182" i="3"/>
  <c r="H182" i="3"/>
  <c r="E182" i="3"/>
  <c r="C182" i="3"/>
  <c r="B182" i="3"/>
  <c r="A182" i="3"/>
  <c r="J181" i="3"/>
  <c r="H181" i="3"/>
  <c r="E181" i="3"/>
  <c r="C181" i="3"/>
  <c r="B181" i="3"/>
  <c r="A181" i="3"/>
  <c r="J180" i="3"/>
  <c r="H180" i="3"/>
  <c r="E180" i="3"/>
  <c r="C180" i="3"/>
  <c r="B180" i="3"/>
  <c r="A180" i="3"/>
  <c r="J179" i="3"/>
  <c r="H179" i="3"/>
  <c r="E179" i="3"/>
  <c r="C179" i="3"/>
  <c r="B179" i="3"/>
  <c r="A179" i="3"/>
  <c r="H178" i="3"/>
  <c r="E178" i="3"/>
  <c r="C178" i="3"/>
  <c r="B178" i="3"/>
  <c r="A178" i="3"/>
  <c r="J177" i="3"/>
  <c r="H177" i="3"/>
  <c r="E177" i="3"/>
  <c r="C177" i="3"/>
  <c r="B177" i="3"/>
  <c r="A177" i="3"/>
  <c r="J176" i="3"/>
  <c r="H176" i="3"/>
  <c r="E176" i="3"/>
  <c r="C176" i="3"/>
  <c r="B176" i="3"/>
  <c r="A176" i="3"/>
  <c r="J175" i="3"/>
  <c r="H175" i="3"/>
  <c r="E175" i="3"/>
  <c r="C175" i="3"/>
  <c r="B175" i="3"/>
  <c r="A175" i="3"/>
  <c r="J174" i="3"/>
  <c r="H174" i="3"/>
  <c r="E174" i="3"/>
  <c r="C174" i="3"/>
  <c r="B174" i="3"/>
  <c r="A174" i="3"/>
  <c r="J173" i="3"/>
  <c r="H173" i="3"/>
  <c r="E173" i="3"/>
  <c r="C173" i="3"/>
  <c r="B173" i="3"/>
  <c r="A173" i="3"/>
  <c r="J172" i="3"/>
  <c r="H172" i="3"/>
  <c r="E172" i="3"/>
  <c r="C172" i="3"/>
  <c r="B172" i="3"/>
  <c r="A172" i="3"/>
  <c r="J171" i="3"/>
  <c r="H171" i="3"/>
  <c r="E171" i="3"/>
  <c r="C171" i="3"/>
  <c r="B171" i="3"/>
  <c r="A171" i="3"/>
  <c r="H170" i="3"/>
  <c r="E170" i="3"/>
  <c r="C170" i="3"/>
  <c r="B170" i="3"/>
  <c r="A170" i="3"/>
  <c r="J169" i="3"/>
  <c r="H169" i="3"/>
  <c r="E169" i="3"/>
  <c r="C169" i="3"/>
  <c r="B169" i="3"/>
  <c r="A169" i="3"/>
  <c r="J168" i="3"/>
  <c r="H168" i="3"/>
  <c r="E168" i="3"/>
  <c r="C168" i="3"/>
  <c r="B168" i="3"/>
  <c r="A168" i="3"/>
  <c r="J167" i="3"/>
  <c r="H167" i="3"/>
  <c r="E167" i="3"/>
  <c r="C167" i="3"/>
  <c r="B167" i="3"/>
  <c r="A167" i="3"/>
  <c r="J166" i="3"/>
  <c r="H166" i="3"/>
  <c r="E166" i="3"/>
  <c r="C166" i="3"/>
  <c r="B166" i="3"/>
  <c r="A166" i="3"/>
  <c r="J165" i="3"/>
  <c r="H165" i="3"/>
  <c r="E165" i="3"/>
  <c r="C165" i="3"/>
  <c r="B165" i="3"/>
  <c r="A165" i="3"/>
  <c r="J164" i="3"/>
  <c r="H164" i="3"/>
  <c r="E164" i="3"/>
  <c r="C164" i="3"/>
  <c r="B164" i="3"/>
  <c r="A164" i="3"/>
  <c r="J163" i="3"/>
  <c r="H163" i="3"/>
  <c r="E163" i="3"/>
  <c r="C163" i="3"/>
  <c r="B163" i="3"/>
  <c r="A163" i="3"/>
  <c r="H162" i="3"/>
  <c r="E162" i="3"/>
  <c r="C162" i="3"/>
  <c r="B162" i="3"/>
  <c r="A162" i="3"/>
  <c r="J161" i="3"/>
  <c r="H161" i="3"/>
  <c r="E161" i="3"/>
  <c r="C161" i="3"/>
  <c r="B161" i="3"/>
  <c r="A161" i="3"/>
  <c r="J160" i="3"/>
  <c r="H160" i="3"/>
  <c r="E160" i="3"/>
  <c r="C160" i="3"/>
  <c r="B160" i="3"/>
  <c r="A160" i="3"/>
  <c r="J159" i="3"/>
  <c r="H159" i="3"/>
  <c r="E159" i="3"/>
  <c r="C159" i="3"/>
  <c r="B159" i="3"/>
  <c r="A159" i="3"/>
  <c r="J158" i="3"/>
  <c r="H158" i="3"/>
  <c r="E158" i="3"/>
  <c r="C158" i="3"/>
  <c r="B158" i="3"/>
  <c r="A158" i="3"/>
  <c r="J157" i="3"/>
  <c r="H157" i="3"/>
  <c r="E157" i="3"/>
  <c r="C157" i="3"/>
  <c r="B157" i="3"/>
  <c r="A157" i="3"/>
  <c r="J156" i="3"/>
  <c r="H156" i="3"/>
  <c r="E156" i="3"/>
  <c r="C156" i="3"/>
  <c r="B156" i="3"/>
  <c r="A156" i="3"/>
  <c r="J155" i="3"/>
  <c r="H155" i="3"/>
  <c r="E155" i="3"/>
  <c r="C155" i="3"/>
  <c r="B155" i="3"/>
  <c r="A155" i="3"/>
  <c r="H154" i="3"/>
  <c r="E154" i="3"/>
  <c r="C154" i="3"/>
  <c r="B154" i="3"/>
  <c r="A154" i="3"/>
  <c r="J153" i="3"/>
  <c r="H153" i="3"/>
  <c r="E153" i="3"/>
  <c r="C153" i="3"/>
  <c r="B153" i="3"/>
  <c r="A153" i="3"/>
  <c r="J152" i="3"/>
  <c r="H152" i="3"/>
  <c r="E152" i="3"/>
  <c r="C152" i="3"/>
  <c r="B152" i="3"/>
  <c r="A152" i="3"/>
  <c r="J151" i="3"/>
  <c r="H151" i="3"/>
  <c r="E151" i="3"/>
  <c r="C151" i="3"/>
  <c r="B151" i="3"/>
  <c r="A151" i="3"/>
  <c r="J150" i="3"/>
  <c r="H150" i="3"/>
  <c r="E150" i="3"/>
  <c r="C150" i="3"/>
  <c r="B150" i="3"/>
  <c r="A150" i="3"/>
  <c r="J149" i="3"/>
  <c r="H149" i="3"/>
  <c r="E149" i="3"/>
  <c r="C149" i="3"/>
  <c r="B149" i="3"/>
  <c r="A149" i="3"/>
  <c r="J148" i="3"/>
  <c r="H148" i="3"/>
  <c r="E148" i="3"/>
  <c r="C148" i="3"/>
  <c r="B148" i="3"/>
  <c r="A148" i="3"/>
  <c r="J147" i="3"/>
  <c r="H147" i="3"/>
  <c r="E147" i="3"/>
  <c r="C147" i="3"/>
  <c r="B147" i="3"/>
  <c r="A147" i="3"/>
  <c r="H146" i="3"/>
  <c r="E146" i="3"/>
  <c r="C146" i="3"/>
  <c r="B146" i="3"/>
  <c r="A146" i="3"/>
  <c r="J145" i="3"/>
  <c r="H145" i="3"/>
  <c r="E145" i="3"/>
  <c r="C145" i="3"/>
  <c r="B145" i="3"/>
  <c r="A145" i="3"/>
  <c r="J144" i="3"/>
  <c r="H144" i="3"/>
  <c r="E144" i="3"/>
  <c r="C144" i="3"/>
  <c r="B144" i="3"/>
  <c r="A144" i="3"/>
  <c r="J143" i="3"/>
  <c r="H143" i="3"/>
  <c r="E143" i="3"/>
  <c r="C143" i="3"/>
  <c r="B143" i="3"/>
  <c r="A143" i="3"/>
  <c r="J142" i="3"/>
  <c r="H142" i="3"/>
  <c r="E142" i="3"/>
  <c r="C142" i="3"/>
  <c r="B142" i="3"/>
  <c r="A142" i="3"/>
  <c r="J141" i="3"/>
  <c r="H141" i="3"/>
  <c r="E141" i="3"/>
  <c r="C141" i="3"/>
  <c r="B141" i="3"/>
  <c r="A141" i="3"/>
  <c r="J140" i="3"/>
  <c r="H140" i="3"/>
  <c r="E140" i="3"/>
  <c r="C140" i="3"/>
  <c r="B140" i="3"/>
  <c r="A140" i="3"/>
  <c r="J139" i="3"/>
  <c r="H139" i="3"/>
  <c r="E139" i="3"/>
  <c r="C139" i="3"/>
  <c r="B139" i="3"/>
  <c r="A139" i="3"/>
  <c r="H138" i="3"/>
  <c r="E138" i="3"/>
  <c r="C138" i="3"/>
  <c r="B138" i="3"/>
  <c r="A138" i="3"/>
  <c r="J137" i="3"/>
  <c r="H137" i="3"/>
  <c r="E137" i="3"/>
  <c r="C137" i="3"/>
  <c r="B137" i="3"/>
  <c r="A137" i="3"/>
  <c r="J136" i="3"/>
  <c r="H136" i="3"/>
  <c r="E136" i="3"/>
  <c r="C136" i="3"/>
  <c r="B136" i="3"/>
  <c r="A136" i="3"/>
  <c r="J135" i="3"/>
  <c r="H135" i="3"/>
  <c r="E135" i="3"/>
  <c r="C135" i="3"/>
  <c r="B135" i="3"/>
  <c r="A135" i="3"/>
  <c r="J134" i="3"/>
  <c r="H134" i="3"/>
  <c r="E134" i="3"/>
  <c r="C134" i="3"/>
  <c r="B134" i="3"/>
  <c r="A134" i="3"/>
  <c r="J133" i="3"/>
  <c r="H133" i="3"/>
  <c r="E133" i="3"/>
  <c r="C133" i="3"/>
  <c r="B133" i="3"/>
  <c r="A133" i="3"/>
  <c r="J132" i="3"/>
  <c r="H132" i="3"/>
  <c r="E132" i="3"/>
  <c r="C132" i="3"/>
  <c r="B132" i="3"/>
  <c r="A132" i="3"/>
  <c r="J131" i="3"/>
  <c r="H131" i="3"/>
  <c r="E131" i="3"/>
  <c r="C131" i="3"/>
  <c r="B131" i="3"/>
  <c r="A131" i="3"/>
  <c r="H130" i="3"/>
  <c r="E130" i="3"/>
  <c r="C130" i="3"/>
  <c r="B130" i="3"/>
  <c r="A130" i="3"/>
  <c r="J129" i="3"/>
  <c r="H129" i="3"/>
  <c r="E129" i="3"/>
  <c r="C129" i="3"/>
  <c r="B129" i="3"/>
  <c r="A129" i="3"/>
  <c r="J128" i="3"/>
  <c r="H128" i="3"/>
  <c r="E128" i="3"/>
  <c r="C128" i="3"/>
  <c r="B128" i="3"/>
  <c r="A128" i="3"/>
  <c r="J127" i="3"/>
  <c r="H127" i="3"/>
  <c r="E127" i="3"/>
  <c r="C127" i="3"/>
  <c r="B127" i="3"/>
  <c r="A127" i="3"/>
  <c r="J126" i="3"/>
  <c r="H126" i="3"/>
  <c r="E126" i="3"/>
  <c r="C126" i="3"/>
  <c r="B126" i="3"/>
  <c r="A126" i="3"/>
  <c r="J125" i="3"/>
  <c r="H125" i="3"/>
  <c r="E125" i="3"/>
  <c r="C125" i="3"/>
  <c r="B125" i="3"/>
  <c r="A125" i="3"/>
  <c r="J124" i="3"/>
  <c r="H124" i="3"/>
  <c r="E124" i="3"/>
  <c r="C124" i="3"/>
  <c r="B124" i="3"/>
  <c r="A124" i="3"/>
  <c r="J123" i="3"/>
  <c r="H123" i="3"/>
  <c r="E123" i="3"/>
  <c r="C123" i="3"/>
  <c r="B123" i="3"/>
  <c r="A123" i="3"/>
  <c r="H122" i="3"/>
  <c r="E122" i="3"/>
  <c r="C122" i="3"/>
  <c r="B122" i="3"/>
  <c r="A122" i="3"/>
  <c r="J121" i="3"/>
  <c r="H121" i="3"/>
  <c r="E121" i="3"/>
  <c r="C121" i="3"/>
  <c r="B121" i="3"/>
  <c r="A121" i="3"/>
  <c r="J120" i="3"/>
  <c r="H120" i="3"/>
  <c r="E120" i="3"/>
  <c r="C120" i="3"/>
  <c r="B120" i="3"/>
  <c r="A120" i="3"/>
  <c r="J119" i="3"/>
  <c r="H119" i="3"/>
  <c r="E119" i="3"/>
  <c r="C119" i="3"/>
  <c r="B119" i="3"/>
  <c r="A119" i="3"/>
  <c r="J118" i="3"/>
  <c r="H118" i="3"/>
  <c r="E118" i="3"/>
  <c r="C118" i="3"/>
  <c r="B118" i="3"/>
  <c r="A118" i="3"/>
  <c r="J117" i="3"/>
  <c r="H117" i="3"/>
  <c r="E117" i="3"/>
  <c r="C117" i="3"/>
  <c r="B117" i="3"/>
  <c r="A117" i="3"/>
  <c r="J116" i="3"/>
  <c r="H116" i="3"/>
  <c r="E116" i="3"/>
  <c r="C116" i="3"/>
  <c r="B116" i="3"/>
  <c r="A116" i="3"/>
  <c r="J115" i="3"/>
  <c r="H115" i="3"/>
  <c r="E115" i="3"/>
  <c r="C115" i="3"/>
  <c r="B115" i="3"/>
  <c r="A115" i="3"/>
  <c r="H114" i="3"/>
  <c r="E114" i="3"/>
  <c r="C114" i="3"/>
  <c r="B114" i="3"/>
  <c r="A114" i="3"/>
  <c r="J113" i="3"/>
  <c r="H113" i="3"/>
  <c r="E113" i="3"/>
  <c r="C113" i="3"/>
  <c r="B113" i="3"/>
  <c r="A113" i="3"/>
  <c r="J112" i="3"/>
  <c r="H112" i="3"/>
  <c r="E112" i="3"/>
  <c r="C112" i="3"/>
  <c r="B112" i="3"/>
  <c r="A112" i="3"/>
  <c r="J111" i="3"/>
  <c r="H111" i="3"/>
  <c r="E111" i="3"/>
  <c r="C111" i="3"/>
  <c r="B111" i="3"/>
  <c r="A111" i="3"/>
  <c r="J110" i="3"/>
  <c r="H110" i="3"/>
  <c r="E110" i="3"/>
  <c r="C110" i="3"/>
  <c r="B110" i="3"/>
  <c r="A110" i="3"/>
  <c r="J109" i="3"/>
  <c r="H109" i="3"/>
  <c r="E109" i="3"/>
  <c r="C109" i="3"/>
  <c r="B109" i="3"/>
  <c r="A109" i="3"/>
  <c r="J108" i="3"/>
  <c r="H108" i="3"/>
  <c r="E108" i="3"/>
  <c r="C108" i="3"/>
  <c r="B108" i="3"/>
  <c r="A108" i="3"/>
  <c r="J107" i="3"/>
  <c r="H107" i="3"/>
  <c r="E107" i="3"/>
  <c r="C107" i="3"/>
  <c r="B107" i="3"/>
  <c r="A107" i="3"/>
  <c r="H106" i="3"/>
  <c r="E106" i="3"/>
  <c r="C106" i="3"/>
  <c r="B106" i="3"/>
  <c r="A106" i="3"/>
  <c r="J105" i="3"/>
  <c r="H105" i="3"/>
  <c r="E105" i="3"/>
  <c r="C105" i="3"/>
  <c r="B105" i="3"/>
  <c r="A105" i="3"/>
  <c r="J104" i="3"/>
  <c r="H104" i="3"/>
  <c r="E104" i="3"/>
  <c r="C104" i="3"/>
  <c r="B104" i="3"/>
  <c r="A104" i="3"/>
  <c r="J103" i="3"/>
  <c r="H103" i="3"/>
  <c r="E103" i="3"/>
  <c r="C103" i="3"/>
  <c r="B103" i="3"/>
  <c r="A103" i="3"/>
  <c r="J102" i="3"/>
  <c r="H102" i="3"/>
  <c r="E102" i="3"/>
  <c r="C102" i="3"/>
  <c r="B102" i="3"/>
  <c r="A102" i="3"/>
  <c r="J101" i="3"/>
  <c r="H101" i="3"/>
  <c r="E101" i="3"/>
  <c r="C101" i="3"/>
  <c r="B101" i="3"/>
  <c r="A101" i="3"/>
  <c r="J100" i="3"/>
  <c r="H100" i="3"/>
  <c r="E100" i="3"/>
  <c r="C100" i="3"/>
  <c r="B100" i="3"/>
  <c r="A100" i="3"/>
  <c r="J99" i="3"/>
  <c r="H99" i="3"/>
  <c r="E99" i="3"/>
  <c r="C99" i="3"/>
  <c r="B99" i="3"/>
  <c r="A99" i="3"/>
  <c r="H98" i="3"/>
  <c r="E98" i="3"/>
  <c r="C98" i="3"/>
  <c r="B98" i="3"/>
  <c r="A98" i="3"/>
  <c r="J97" i="3"/>
  <c r="H97" i="3"/>
  <c r="E97" i="3"/>
  <c r="C97" i="3"/>
  <c r="B97" i="3"/>
  <c r="A97" i="3"/>
  <c r="J96" i="3"/>
  <c r="H96" i="3"/>
  <c r="E96" i="3"/>
  <c r="C96" i="3"/>
  <c r="B96" i="3"/>
  <c r="A96" i="3"/>
  <c r="J95" i="3"/>
  <c r="H95" i="3"/>
  <c r="E95" i="3"/>
  <c r="C95" i="3"/>
  <c r="B95" i="3"/>
  <c r="A95" i="3"/>
  <c r="J94" i="3"/>
  <c r="H94" i="3"/>
  <c r="E94" i="3"/>
  <c r="C94" i="3"/>
  <c r="B94" i="3"/>
  <c r="A94" i="3"/>
  <c r="J93" i="3"/>
  <c r="H93" i="3"/>
  <c r="E93" i="3"/>
  <c r="C93" i="3"/>
  <c r="B93" i="3"/>
  <c r="A93" i="3"/>
  <c r="J92" i="3"/>
  <c r="H92" i="3"/>
  <c r="E92" i="3"/>
  <c r="C92" i="3"/>
  <c r="B92" i="3"/>
  <c r="A92" i="3"/>
  <c r="J91" i="3"/>
  <c r="H91" i="3"/>
  <c r="E91" i="3"/>
  <c r="C91" i="3"/>
  <c r="B91" i="3"/>
  <c r="A91" i="3"/>
  <c r="H90" i="3"/>
  <c r="E90" i="3"/>
  <c r="C90" i="3"/>
  <c r="B90" i="3"/>
  <c r="A90" i="3"/>
  <c r="J89" i="3"/>
  <c r="H89" i="3"/>
  <c r="E89" i="3"/>
  <c r="C89" i="3"/>
  <c r="B89" i="3"/>
  <c r="A89" i="3"/>
  <c r="J88" i="3"/>
  <c r="H88" i="3"/>
  <c r="E88" i="3"/>
  <c r="C88" i="3"/>
  <c r="B88" i="3"/>
  <c r="A88" i="3"/>
  <c r="J87" i="3"/>
  <c r="H87" i="3"/>
  <c r="E87" i="3"/>
  <c r="C87" i="3"/>
  <c r="B87" i="3"/>
  <c r="A87" i="3"/>
  <c r="J86" i="3"/>
  <c r="H86" i="3"/>
  <c r="E86" i="3"/>
  <c r="C86" i="3"/>
  <c r="B86" i="3"/>
  <c r="A86" i="3"/>
  <c r="J85" i="3"/>
  <c r="H85" i="3"/>
  <c r="E85" i="3"/>
  <c r="C85" i="3"/>
  <c r="B85" i="3"/>
  <c r="A85" i="3"/>
  <c r="J84" i="3"/>
  <c r="H84" i="3"/>
  <c r="E84" i="3"/>
  <c r="C84" i="3"/>
  <c r="B84" i="3"/>
  <c r="A84" i="3"/>
  <c r="J83" i="3"/>
  <c r="H83" i="3"/>
  <c r="E83" i="3"/>
  <c r="C83" i="3"/>
  <c r="B83" i="3"/>
  <c r="A83" i="3"/>
  <c r="H82" i="3"/>
  <c r="E82" i="3"/>
  <c r="C82" i="3"/>
  <c r="B82" i="3"/>
  <c r="A82" i="3"/>
  <c r="J81" i="3"/>
  <c r="H81" i="3"/>
  <c r="E81" i="3"/>
  <c r="C81" i="3"/>
  <c r="B81" i="3"/>
  <c r="A81" i="3"/>
  <c r="J80" i="3"/>
  <c r="H80" i="3"/>
  <c r="E80" i="3"/>
  <c r="C80" i="3"/>
  <c r="B80" i="3"/>
  <c r="A80" i="3"/>
  <c r="J79" i="3"/>
  <c r="H79" i="3"/>
  <c r="E79" i="3"/>
  <c r="C79" i="3"/>
  <c r="B79" i="3"/>
  <c r="A79" i="3"/>
  <c r="J78" i="3"/>
  <c r="H78" i="3"/>
  <c r="E78" i="3"/>
  <c r="C78" i="3"/>
  <c r="B78" i="3"/>
  <c r="A78" i="3"/>
  <c r="J77" i="3"/>
  <c r="H77" i="3"/>
  <c r="E77" i="3"/>
  <c r="C77" i="3"/>
  <c r="B77" i="3"/>
  <c r="A77" i="3"/>
  <c r="J76" i="3"/>
  <c r="H76" i="3"/>
  <c r="E76" i="3"/>
  <c r="C76" i="3"/>
  <c r="B76" i="3"/>
  <c r="A76" i="3"/>
  <c r="J75" i="3"/>
  <c r="H75" i="3"/>
  <c r="E75" i="3"/>
  <c r="C75" i="3"/>
  <c r="B75" i="3"/>
  <c r="A75" i="3"/>
  <c r="H74" i="3"/>
  <c r="E74" i="3"/>
  <c r="C74" i="3"/>
  <c r="B74" i="3"/>
  <c r="A74" i="3"/>
  <c r="J73" i="3"/>
  <c r="H73" i="3"/>
  <c r="E73" i="3"/>
  <c r="C73" i="3"/>
  <c r="B73" i="3"/>
  <c r="A73" i="3"/>
  <c r="J72" i="3"/>
  <c r="H72" i="3"/>
  <c r="E72" i="3"/>
  <c r="C72" i="3"/>
  <c r="B72" i="3"/>
  <c r="A72" i="3"/>
  <c r="J71" i="3"/>
  <c r="H71" i="3"/>
  <c r="E71" i="3"/>
  <c r="C71" i="3"/>
  <c r="B71" i="3"/>
  <c r="A71" i="3"/>
  <c r="J70" i="3"/>
  <c r="H70" i="3"/>
  <c r="E70" i="3"/>
  <c r="C70" i="3"/>
  <c r="B70" i="3"/>
  <c r="A70" i="3"/>
  <c r="J69" i="3"/>
  <c r="H69" i="3"/>
  <c r="E69" i="3"/>
  <c r="C69" i="3"/>
  <c r="B69" i="3"/>
  <c r="A69" i="3"/>
  <c r="J68" i="3"/>
  <c r="H68" i="3"/>
  <c r="E68" i="3"/>
  <c r="C68" i="3"/>
  <c r="B68" i="3"/>
  <c r="A68" i="3"/>
  <c r="J67" i="3"/>
  <c r="H67" i="3"/>
  <c r="E67" i="3"/>
  <c r="C67" i="3"/>
  <c r="B67" i="3"/>
  <c r="A67" i="3"/>
  <c r="H66" i="3"/>
  <c r="E66" i="3"/>
  <c r="C66" i="3"/>
  <c r="B66" i="3"/>
  <c r="A66" i="3"/>
  <c r="J65" i="3"/>
  <c r="H65" i="3"/>
  <c r="E65" i="3"/>
  <c r="C65" i="3"/>
  <c r="B65" i="3"/>
  <c r="A65" i="3"/>
  <c r="J64" i="3"/>
  <c r="H64" i="3"/>
  <c r="E64" i="3"/>
  <c r="C64" i="3"/>
  <c r="B64" i="3"/>
  <c r="A64" i="3"/>
  <c r="J63" i="3"/>
  <c r="H63" i="3"/>
  <c r="E63" i="3"/>
  <c r="C63" i="3"/>
  <c r="B63" i="3"/>
  <c r="A63" i="3"/>
  <c r="J62" i="3"/>
  <c r="H62" i="3"/>
  <c r="E62" i="3"/>
  <c r="C62" i="3"/>
  <c r="B62" i="3"/>
  <c r="A62" i="3"/>
  <c r="J61" i="3"/>
  <c r="H61" i="3"/>
  <c r="E61" i="3"/>
  <c r="C61" i="3"/>
  <c r="B61" i="3"/>
  <c r="A61" i="3"/>
  <c r="J60" i="3"/>
  <c r="H60" i="3"/>
  <c r="E60" i="3"/>
  <c r="C60" i="3"/>
  <c r="B60" i="3"/>
  <c r="A60" i="3"/>
  <c r="J59" i="3"/>
  <c r="H59" i="3"/>
  <c r="E59" i="3"/>
  <c r="C59" i="3"/>
  <c r="B59" i="3"/>
  <c r="A59" i="3"/>
  <c r="H58" i="3"/>
  <c r="E58" i="3"/>
  <c r="C58" i="3"/>
  <c r="B58" i="3"/>
  <c r="A58" i="3"/>
  <c r="J57" i="3"/>
  <c r="H57" i="3"/>
  <c r="E57" i="3"/>
  <c r="C57" i="3"/>
  <c r="B57" i="3"/>
  <c r="A57" i="3"/>
  <c r="J56" i="3"/>
  <c r="H56" i="3"/>
  <c r="E56" i="3"/>
  <c r="C56" i="3"/>
  <c r="B56" i="3"/>
  <c r="A56" i="3"/>
  <c r="J55" i="3"/>
  <c r="H55" i="3"/>
  <c r="E55" i="3"/>
  <c r="C55" i="3"/>
  <c r="B55" i="3"/>
  <c r="A55" i="3"/>
  <c r="J54" i="3"/>
  <c r="H54" i="3"/>
  <c r="E54" i="3"/>
  <c r="C54" i="3"/>
  <c r="B54" i="3"/>
  <c r="A54" i="3"/>
  <c r="J53" i="3"/>
  <c r="H53" i="3"/>
  <c r="E53" i="3"/>
  <c r="C53" i="3"/>
  <c r="B53" i="3"/>
  <c r="A53" i="3"/>
  <c r="J52" i="3"/>
  <c r="H52" i="3"/>
  <c r="E52" i="3"/>
  <c r="C52" i="3"/>
  <c r="B52" i="3"/>
  <c r="A52" i="3"/>
  <c r="J51" i="3"/>
  <c r="H51" i="3"/>
  <c r="E51" i="3"/>
  <c r="C51" i="3"/>
  <c r="B51" i="3"/>
  <c r="A51" i="3"/>
  <c r="H50" i="3"/>
  <c r="E50" i="3"/>
  <c r="C50" i="3"/>
  <c r="B50" i="3"/>
  <c r="A50" i="3"/>
  <c r="J49" i="3"/>
  <c r="H49" i="3"/>
  <c r="E49" i="3"/>
  <c r="C49" i="3"/>
  <c r="B49" i="3"/>
  <c r="A49" i="3"/>
  <c r="J48" i="3"/>
  <c r="H48" i="3"/>
  <c r="E48" i="3"/>
  <c r="C48" i="3"/>
  <c r="B48" i="3"/>
  <c r="A48" i="3"/>
  <c r="J47" i="3"/>
  <c r="H47" i="3"/>
  <c r="E47" i="3"/>
  <c r="C47" i="3"/>
  <c r="B47" i="3"/>
  <c r="A47" i="3"/>
  <c r="J46" i="3"/>
  <c r="H46" i="3"/>
  <c r="E46" i="3"/>
  <c r="C46" i="3"/>
  <c r="B46" i="3"/>
  <c r="A46" i="3"/>
  <c r="J45" i="3"/>
  <c r="H45" i="3"/>
  <c r="E45" i="3"/>
  <c r="C45" i="3"/>
  <c r="B45" i="3"/>
  <c r="A45" i="3"/>
  <c r="J44" i="3"/>
  <c r="H44" i="3"/>
  <c r="E44" i="3"/>
  <c r="C44" i="3"/>
  <c r="B44" i="3"/>
  <c r="A44" i="3"/>
  <c r="J43" i="3"/>
  <c r="H43" i="3"/>
  <c r="E43" i="3"/>
  <c r="C43" i="3"/>
  <c r="B43" i="3"/>
  <c r="A43" i="3"/>
  <c r="H42" i="3"/>
  <c r="E42" i="3"/>
  <c r="C42" i="3"/>
  <c r="B42" i="3"/>
  <c r="A42" i="3"/>
  <c r="J41" i="3"/>
  <c r="H41" i="3"/>
  <c r="E41" i="3"/>
  <c r="C41" i="3"/>
  <c r="B41" i="3"/>
  <c r="A41" i="3"/>
  <c r="J40" i="3"/>
  <c r="H40" i="3"/>
  <c r="E40" i="3"/>
  <c r="C40" i="3"/>
  <c r="B40" i="3"/>
  <c r="A40" i="3"/>
  <c r="J39" i="3"/>
  <c r="H39" i="3"/>
  <c r="E39" i="3"/>
  <c r="C39" i="3"/>
  <c r="B39" i="3"/>
  <c r="A39" i="3"/>
  <c r="J38" i="3"/>
  <c r="H38" i="3"/>
  <c r="E38" i="3"/>
  <c r="C38" i="3"/>
  <c r="B38" i="3"/>
  <c r="A38" i="3"/>
  <c r="J37" i="3"/>
  <c r="H37" i="3"/>
  <c r="E37" i="3"/>
  <c r="C37" i="3"/>
  <c r="B37" i="3"/>
  <c r="A37" i="3"/>
  <c r="J36" i="3"/>
  <c r="H36" i="3"/>
  <c r="E36" i="3"/>
  <c r="C36" i="3"/>
  <c r="B36" i="3"/>
  <c r="A36" i="3"/>
  <c r="J35" i="3"/>
  <c r="H35" i="3"/>
  <c r="E35" i="3"/>
  <c r="C35" i="3"/>
  <c r="B35" i="3"/>
  <c r="A35" i="3"/>
  <c r="H34" i="3"/>
  <c r="E34" i="3"/>
  <c r="C34" i="3"/>
  <c r="B34" i="3"/>
  <c r="A34" i="3"/>
  <c r="J33" i="3"/>
  <c r="H33" i="3"/>
  <c r="E33" i="3"/>
  <c r="C33" i="3"/>
  <c r="B33" i="3"/>
  <c r="A33" i="3"/>
  <c r="J32" i="3"/>
  <c r="H32" i="3"/>
  <c r="E32" i="3"/>
  <c r="C32" i="3"/>
  <c r="B32" i="3"/>
  <c r="A32" i="3"/>
  <c r="J31" i="3"/>
  <c r="H31" i="3"/>
  <c r="E31" i="3"/>
  <c r="C31" i="3"/>
  <c r="B31" i="3"/>
  <c r="A31" i="3"/>
  <c r="J30" i="3"/>
  <c r="H30" i="3"/>
  <c r="E30" i="3"/>
  <c r="C30" i="3"/>
  <c r="B30" i="3"/>
  <c r="A30" i="3"/>
  <c r="J29" i="3"/>
  <c r="H29" i="3"/>
  <c r="E29" i="3"/>
  <c r="C29" i="3"/>
  <c r="B29" i="3"/>
  <c r="A29" i="3"/>
  <c r="J28" i="3"/>
  <c r="H28" i="3"/>
  <c r="E28" i="3"/>
  <c r="C28" i="3"/>
  <c r="B28" i="3"/>
  <c r="A28" i="3"/>
  <c r="J27" i="3"/>
  <c r="H27" i="3"/>
  <c r="E27" i="3"/>
  <c r="C27" i="3"/>
  <c r="B27" i="3"/>
  <c r="A27" i="3"/>
  <c r="H26" i="3"/>
  <c r="E26" i="3"/>
  <c r="C26" i="3"/>
  <c r="B26" i="3"/>
  <c r="A26" i="3"/>
  <c r="J25" i="3"/>
  <c r="H25" i="3"/>
  <c r="E25" i="3"/>
  <c r="C25" i="3"/>
  <c r="B25" i="3"/>
  <c r="A25" i="3"/>
  <c r="J24" i="3"/>
  <c r="H24" i="3"/>
  <c r="E24" i="3"/>
  <c r="C24" i="3"/>
  <c r="B24" i="3"/>
  <c r="A24" i="3"/>
  <c r="J23" i="3"/>
  <c r="H23" i="3"/>
  <c r="E23" i="3"/>
  <c r="C23" i="3"/>
  <c r="B23" i="3"/>
  <c r="A23" i="3"/>
  <c r="J22" i="3"/>
  <c r="H22" i="3"/>
  <c r="E22" i="3"/>
  <c r="C22" i="3"/>
  <c r="B22" i="3"/>
  <c r="A22" i="3"/>
  <c r="J21" i="3"/>
  <c r="H21" i="3"/>
  <c r="E21" i="3"/>
  <c r="C21" i="3"/>
  <c r="B21" i="3"/>
  <c r="A21" i="3"/>
  <c r="J20" i="3"/>
  <c r="H20" i="3"/>
  <c r="E20" i="3"/>
  <c r="C20" i="3"/>
  <c r="B20" i="3"/>
  <c r="A20" i="3"/>
  <c r="J19" i="3"/>
  <c r="H19" i="3"/>
  <c r="E19" i="3"/>
  <c r="C19" i="3"/>
  <c r="B19" i="3"/>
  <c r="A19" i="3"/>
  <c r="H18" i="3"/>
  <c r="E18" i="3"/>
  <c r="C18" i="3"/>
  <c r="B18" i="3"/>
  <c r="A18" i="3"/>
  <c r="J17" i="3"/>
  <c r="H17" i="3"/>
  <c r="E17" i="3"/>
  <c r="C17" i="3"/>
  <c r="B17" i="3"/>
  <c r="A17" i="3"/>
  <c r="H16" i="3"/>
  <c r="E16" i="3"/>
  <c r="C16" i="3"/>
  <c r="B16" i="3"/>
  <c r="A16" i="3"/>
  <c r="J15" i="3"/>
  <c r="H15" i="3"/>
  <c r="E15" i="3"/>
  <c r="C15" i="3"/>
  <c r="B15" i="3"/>
  <c r="A15" i="3"/>
  <c r="J14" i="3"/>
  <c r="H14" i="3"/>
  <c r="E14" i="3"/>
  <c r="C14" i="3"/>
  <c r="B14" i="3"/>
  <c r="A14" i="3"/>
  <c r="J13" i="3"/>
  <c r="H13" i="3"/>
  <c r="E13" i="3"/>
  <c r="C13" i="3"/>
  <c r="B13" i="3"/>
  <c r="A13" i="3"/>
  <c r="J12" i="3"/>
  <c r="H12" i="3"/>
  <c r="I12" i="3" s="1"/>
  <c r="E12" i="3"/>
  <c r="C12" i="3"/>
  <c r="B12" i="3"/>
  <c r="A12" i="3"/>
  <c r="J11" i="3"/>
  <c r="H11" i="3"/>
  <c r="E11" i="3"/>
  <c r="C11" i="3"/>
  <c r="B11" i="3"/>
  <c r="A11" i="3"/>
  <c r="H10" i="3"/>
  <c r="E10" i="3"/>
  <c r="C10" i="3"/>
  <c r="B10" i="3"/>
  <c r="A10" i="3"/>
  <c r="J9" i="3"/>
  <c r="H9" i="3"/>
  <c r="E9" i="3"/>
  <c r="C9" i="3"/>
  <c r="B9" i="3"/>
  <c r="A9" i="3"/>
  <c r="H8" i="3"/>
  <c r="E8" i="3"/>
  <c r="C8" i="3"/>
  <c r="B8" i="3"/>
  <c r="A8" i="3"/>
  <c r="J7" i="3"/>
  <c r="H7" i="3"/>
  <c r="E7" i="3"/>
  <c r="F7" i="3" s="1"/>
  <c r="C7" i="3"/>
  <c r="B7" i="3"/>
  <c r="A7" i="3"/>
  <c r="J6" i="3"/>
  <c r="H6" i="3"/>
  <c r="E6" i="3"/>
  <c r="C6" i="3"/>
  <c r="B6" i="3"/>
  <c r="A6" i="3"/>
  <c r="J5" i="3"/>
  <c r="H5" i="3"/>
  <c r="E5" i="3"/>
  <c r="C5" i="3"/>
  <c r="B5" i="3"/>
  <c r="A5" i="3"/>
  <c r="J4" i="3"/>
  <c r="H4" i="3"/>
  <c r="E4" i="3"/>
  <c r="C4" i="3"/>
  <c r="B4" i="3"/>
  <c r="A4" i="3"/>
  <c r="J3" i="3"/>
  <c r="H3" i="3"/>
  <c r="E3" i="3"/>
  <c r="C3" i="3"/>
  <c r="B3" i="3"/>
  <c r="A3" i="3"/>
  <c r="H2" i="3"/>
  <c r="E2" i="3"/>
  <c r="C2" i="3"/>
  <c r="B2" i="3"/>
  <c r="A2" i="3"/>
  <c r="G15" i="3" l="1"/>
  <c r="J18" i="3"/>
  <c r="I9" i="3"/>
  <c r="I117" i="3"/>
  <c r="I20" i="3"/>
  <c r="I53" i="3"/>
  <c r="G11" i="3"/>
  <c r="F11" i="3"/>
  <c r="F20" i="3"/>
  <c r="I23" i="3"/>
  <c r="F95" i="3"/>
  <c r="F144" i="3"/>
  <c r="F196" i="3"/>
  <c r="G241" i="3"/>
  <c r="G4" i="3"/>
  <c r="G8" i="3"/>
  <c r="F8" i="3"/>
  <c r="I21" i="3"/>
  <c r="I43" i="3"/>
  <c r="F103" i="3"/>
  <c r="I128" i="3"/>
  <c r="F143" i="3"/>
  <c r="G3" i="3"/>
  <c r="F3" i="3"/>
  <c r="F12" i="3"/>
  <c r="G33" i="3"/>
  <c r="G51" i="3"/>
  <c r="F61" i="3"/>
  <c r="F130" i="3"/>
  <c r="F6" i="3"/>
  <c r="G25" i="3"/>
  <c r="G32" i="3"/>
  <c r="I36" i="3"/>
  <c r="G36" i="3"/>
  <c r="I51" i="3"/>
  <c r="I61" i="3"/>
  <c r="I77" i="3"/>
  <c r="F111" i="3"/>
  <c r="F167" i="3"/>
  <c r="G167" i="3"/>
  <c r="I261" i="3"/>
  <c r="F292" i="3"/>
  <c r="I367" i="3"/>
  <c r="B5" i="5"/>
  <c r="C5" i="5" s="1"/>
  <c r="I373" i="3"/>
  <c r="B8" i="5"/>
  <c r="C8" i="5" s="1"/>
  <c r="B4" i="5"/>
  <c r="C4" i="5" s="1"/>
  <c r="G373" i="3"/>
  <c r="B7" i="5"/>
  <c r="C7" i="5" s="1"/>
  <c r="B3" i="5"/>
  <c r="C3" i="5" s="1"/>
  <c r="I369" i="3"/>
  <c r="B6" i="5"/>
  <c r="C6" i="5" s="1"/>
  <c r="B2" i="5"/>
  <c r="C2" i="5" s="1"/>
  <c r="I371" i="3"/>
  <c r="I365" i="3"/>
  <c r="G361" i="3"/>
  <c r="I349" i="3"/>
  <c r="G345" i="3"/>
  <c r="I333" i="3"/>
  <c r="G329" i="3"/>
  <c r="I317" i="3"/>
  <c r="G313" i="3"/>
  <c r="I301" i="3"/>
  <c r="G297" i="3"/>
  <c r="I285" i="3"/>
  <c r="G281" i="3"/>
  <c r="I269" i="3"/>
  <c r="G265" i="3"/>
  <c r="I253" i="3"/>
  <c r="G249" i="3"/>
  <c r="I237" i="3"/>
  <c r="G233" i="3"/>
  <c r="I221" i="3"/>
  <c r="G217" i="3"/>
  <c r="I205" i="3"/>
  <c r="G201" i="3"/>
  <c r="I189" i="3"/>
  <c r="I173" i="3"/>
  <c r="I167" i="3"/>
  <c r="I351" i="3"/>
  <c r="I335" i="3"/>
  <c r="I319" i="3"/>
  <c r="I303" i="3"/>
  <c r="I287" i="3"/>
  <c r="I271" i="3"/>
  <c r="I255" i="3"/>
  <c r="I239" i="3"/>
  <c r="I223" i="3"/>
  <c r="I207" i="3"/>
  <c r="I191" i="3"/>
  <c r="G187" i="3"/>
  <c r="I175" i="3"/>
  <c r="I171" i="3"/>
  <c r="G365" i="3"/>
  <c r="I353" i="3"/>
  <c r="G349" i="3"/>
  <c r="I337" i="3"/>
  <c r="G333" i="3"/>
  <c r="I321" i="3"/>
  <c r="G317" i="3"/>
  <c r="I305" i="3"/>
  <c r="G301" i="3"/>
  <c r="I289" i="3"/>
  <c r="G285" i="3"/>
  <c r="I273" i="3"/>
  <c r="G269" i="3"/>
  <c r="I257" i="3"/>
  <c r="G253" i="3"/>
  <c r="I241" i="3"/>
  <c r="G237" i="3"/>
  <c r="I225" i="3"/>
  <c r="I209" i="3"/>
  <c r="I193" i="3"/>
  <c r="I177" i="3"/>
  <c r="I355" i="3"/>
  <c r="I339" i="3"/>
  <c r="I323" i="3"/>
  <c r="I307" i="3"/>
  <c r="I291" i="3"/>
  <c r="I275" i="3"/>
  <c r="I259" i="3"/>
  <c r="I243" i="3"/>
  <c r="I227" i="3"/>
  <c r="I211" i="3"/>
  <c r="I195" i="3"/>
  <c r="I179" i="3"/>
  <c r="I361" i="3"/>
  <c r="I345" i="3"/>
  <c r="I329" i="3"/>
  <c r="I313" i="3"/>
  <c r="I297" i="3"/>
  <c r="I281" i="3"/>
  <c r="I265" i="3"/>
  <c r="I249" i="3"/>
  <c r="I233" i="3"/>
  <c r="I217" i="3"/>
  <c r="I201" i="3"/>
  <c r="I185" i="3"/>
  <c r="G355" i="3"/>
  <c r="F338" i="3"/>
  <c r="F312" i="3"/>
  <c r="G311" i="3"/>
  <c r="I279" i="3"/>
  <c r="I251" i="3"/>
  <c r="I245" i="3"/>
  <c r="G227" i="3"/>
  <c r="F210" i="3"/>
  <c r="F184" i="3"/>
  <c r="G183" i="3"/>
  <c r="I363" i="3"/>
  <c r="I357" i="3"/>
  <c r="G339" i="3"/>
  <c r="F322" i="3"/>
  <c r="F296" i="3"/>
  <c r="G295" i="3"/>
  <c r="I263" i="3"/>
  <c r="I235" i="3"/>
  <c r="I229" i="3"/>
  <c r="G211" i="3"/>
  <c r="F194" i="3"/>
  <c r="I347" i="3"/>
  <c r="I341" i="3"/>
  <c r="G323" i="3"/>
  <c r="F306" i="3"/>
  <c r="F280" i="3"/>
  <c r="G279" i="3"/>
  <c r="I247" i="3"/>
  <c r="I219" i="3"/>
  <c r="I213" i="3"/>
  <c r="G195" i="3"/>
  <c r="F178" i="3"/>
  <c r="I159" i="3"/>
  <c r="I151" i="3"/>
  <c r="I143" i="3"/>
  <c r="I135" i="3"/>
  <c r="I127" i="3"/>
  <c r="I79" i="3"/>
  <c r="F368" i="3"/>
  <c r="I359" i="3"/>
  <c r="I331" i="3"/>
  <c r="I325" i="3"/>
  <c r="G307" i="3"/>
  <c r="F290" i="3"/>
  <c r="F264" i="3"/>
  <c r="G263" i="3"/>
  <c r="I231" i="3"/>
  <c r="I203" i="3"/>
  <c r="I197" i="3"/>
  <c r="G179" i="3"/>
  <c r="I165" i="3"/>
  <c r="F344" i="3"/>
  <c r="G343" i="3"/>
  <c r="I311" i="3"/>
  <c r="I283" i="3"/>
  <c r="I277" i="3"/>
  <c r="G259" i="3"/>
  <c r="F242" i="3"/>
  <c r="F216" i="3"/>
  <c r="G215" i="3"/>
  <c r="I183" i="3"/>
  <c r="F328" i="3"/>
  <c r="G327" i="3"/>
  <c r="I315" i="3"/>
  <c r="G291" i="3"/>
  <c r="F274" i="3"/>
  <c r="I181" i="3"/>
  <c r="F180" i="3"/>
  <c r="I146" i="3"/>
  <c r="G119" i="3"/>
  <c r="G118" i="3"/>
  <c r="F117" i="3"/>
  <c r="G116" i="3"/>
  <c r="I101" i="3"/>
  <c r="I82" i="3"/>
  <c r="G55" i="3"/>
  <c r="G54" i="3"/>
  <c r="F53" i="3"/>
  <c r="G52" i="3"/>
  <c r="F29" i="3"/>
  <c r="F21" i="3"/>
  <c r="F13" i="3"/>
  <c r="F5" i="3"/>
  <c r="I2" i="3"/>
  <c r="G31" i="3"/>
  <c r="F354" i="3"/>
  <c r="G337" i="3"/>
  <c r="I293" i="3"/>
  <c r="G275" i="3"/>
  <c r="G247" i="3"/>
  <c r="I199" i="3"/>
  <c r="I138" i="3"/>
  <c r="G111" i="3"/>
  <c r="G110" i="3"/>
  <c r="F109" i="3"/>
  <c r="I74" i="3"/>
  <c r="G47" i="3"/>
  <c r="F45" i="3"/>
  <c r="I24" i="3"/>
  <c r="G2" i="3"/>
  <c r="F141" i="3"/>
  <c r="I124" i="3"/>
  <c r="G76" i="3"/>
  <c r="I60" i="3"/>
  <c r="I215" i="3"/>
  <c r="G359" i="3"/>
  <c r="I267" i="3"/>
  <c r="F248" i="3"/>
  <c r="G243" i="3"/>
  <c r="I130" i="3"/>
  <c r="G103" i="3"/>
  <c r="G102" i="3"/>
  <c r="F101" i="3"/>
  <c r="I85" i="3"/>
  <c r="I84" i="3"/>
  <c r="I66" i="3"/>
  <c r="F47" i="3"/>
  <c r="G39" i="3"/>
  <c r="G38" i="3"/>
  <c r="I16" i="3"/>
  <c r="I8" i="3"/>
  <c r="G143" i="3"/>
  <c r="F232" i="3"/>
  <c r="F360" i="3"/>
  <c r="I343" i="3"/>
  <c r="I299" i="3"/>
  <c r="F200" i="3"/>
  <c r="G199" i="3"/>
  <c r="I187" i="3"/>
  <c r="G164" i="3"/>
  <c r="G159" i="3"/>
  <c r="F157" i="3"/>
  <c r="I140" i="3"/>
  <c r="I122" i="3"/>
  <c r="G95" i="3"/>
  <c r="G94" i="3"/>
  <c r="F93" i="3"/>
  <c r="I76" i="3"/>
  <c r="I58" i="3"/>
  <c r="F2" i="3"/>
  <c r="F308" i="3"/>
  <c r="G140" i="3"/>
  <c r="G79" i="3"/>
  <c r="I42" i="3"/>
  <c r="I327" i="3"/>
  <c r="I295" i="3"/>
  <c r="F258" i="3"/>
  <c r="F226" i="3"/>
  <c r="G209" i="3"/>
  <c r="G165" i="3"/>
  <c r="G151" i="3"/>
  <c r="F149" i="3"/>
  <c r="I132" i="3"/>
  <c r="I114" i="3"/>
  <c r="G87" i="3"/>
  <c r="F85" i="3"/>
  <c r="I50" i="3"/>
  <c r="I309" i="3"/>
  <c r="G231" i="3"/>
  <c r="I106" i="3"/>
  <c r="F77" i="3"/>
  <c r="F4" i="3"/>
  <c r="G5" i="3"/>
  <c r="G6" i="3"/>
  <c r="I7" i="3"/>
  <c r="I25" i="3"/>
  <c r="G27" i="3"/>
  <c r="F27" i="3"/>
  <c r="F32" i="3"/>
  <c r="F40" i="3"/>
  <c r="G50" i="3"/>
  <c r="G59" i="3"/>
  <c r="F64" i="3"/>
  <c r="F70" i="3"/>
  <c r="F71" i="3"/>
  <c r="F72" i="3"/>
  <c r="F76" i="3"/>
  <c r="G89" i="3"/>
  <c r="F89" i="3"/>
  <c r="I90" i="3"/>
  <c r="I92" i="3"/>
  <c r="G92" i="3"/>
  <c r="G106" i="3"/>
  <c r="G115" i="3"/>
  <c r="I116" i="3"/>
  <c r="F125" i="3"/>
  <c r="I126" i="3"/>
  <c r="G141" i="3"/>
  <c r="G150" i="3"/>
  <c r="G157" i="3"/>
  <c r="F166" i="3"/>
  <c r="I44" i="3"/>
  <c r="F127" i="3"/>
  <c r="I22" i="3"/>
  <c r="I37" i="3"/>
  <c r="F37" i="3"/>
  <c r="I109" i="3"/>
  <c r="F151" i="3"/>
  <c r="G14" i="3"/>
  <c r="I108" i="3"/>
  <c r="F159" i="3"/>
  <c r="F273" i="3"/>
  <c r="G273" i="3"/>
  <c r="I19" i="3"/>
  <c r="I34" i="3"/>
  <c r="F55" i="3"/>
  <c r="I107" i="3"/>
  <c r="F260" i="3"/>
  <c r="I5" i="3"/>
  <c r="I6" i="3"/>
  <c r="I11" i="3"/>
  <c r="G17" i="3"/>
  <c r="G20" i="3"/>
  <c r="F24" i="3"/>
  <c r="G24" i="3"/>
  <c r="F30" i="3"/>
  <c r="F31" i="3"/>
  <c r="I55" i="3"/>
  <c r="G69" i="3"/>
  <c r="G70" i="3"/>
  <c r="G71" i="3"/>
  <c r="I72" i="3"/>
  <c r="G80" i="3"/>
  <c r="I89" i="3"/>
  <c r="G97" i="3"/>
  <c r="F97" i="3"/>
  <c r="I98" i="3"/>
  <c r="I100" i="3"/>
  <c r="G100" i="3"/>
  <c r="G108" i="3"/>
  <c r="I113" i="3"/>
  <c r="I115" i="3"/>
  <c r="F119" i="3"/>
  <c r="G124" i="3"/>
  <c r="I125" i="3"/>
  <c r="I141" i="3"/>
  <c r="I148" i="3"/>
  <c r="I18" i="3"/>
  <c r="G18" i="3"/>
  <c r="I28" i="3"/>
  <c r="G63" i="3"/>
  <c r="F78" i="3"/>
  <c r="G78" i="3"/>
  <c r="F133" i="3"/>
  <c r="G152" i="3"/>
  <c r="G290" i="3"/>
  <c r="F14" i="3"/>
  <c r="F15" i="3"/>
  <c r="I27" i="3"/>
  <c r="I63" i="3"/>
  <c r="G132" i="3"/>
  <c r="F160" i="3"/>
  <c r="I10" i="3"/>
  <c r="G10" i="3"/>
  <c r="F10" i="3"/>
  <c r="I15" i="3"/>
  <c r="I52" i="3"/>
  <c r="G77" i="3"/>
  <c r="F142" i="3"/>
  <c r="G142" i="3"/>
  <c r="F230" i="3"/>
  <c r="I13" i="3"/>
  <c r="F18" i="3"/>
  <c r="G28" i="3"/>
  <c r="F33" i="3"/>
  <c r="G60" i="3"/>
  <c r="G84" i="3"/>
  <c r="I4" i="3"/>
  <c r="I17" i="3"/>
  <c r="G19" i="3"/>
  <c r="F19" i="3"/>
  <c r="G23" i="3"/>
  <c r="I26" i="3"/>
  <c r="G26" i="3"/>
  <c r="F26" i="3"/>
  <c r="F28" i="3"/>
  <c r="G29" i="3"/>
  <c r="G30" i="3"/>
  <c r="F48" i="3"/>
  <c r="F63" i="3"/>
  <c r="F69" i="3"/>
  <c r="F80" i="3"/>
  <c r="G88" i="3"/>
  <c r="F88" i="3"/>
  <c r="I93" i="3"/>
  <c r="G114" i="3"/>
  <c r="F122" i="3"/>
  <c r="G123" i="3"/>
  <c r="F134" i="3"/>
  <c r="F135" i="3"/>
  <c r="F136" i="3"/>
  <c r="F140" i="3"/>
  <c r="G153" i="3"/>
  <c r="F153" i="3"/>
  <c r="I154" i="3"/>
  <c r="I156" i="3"/>
  <c r="G156" i="3"/>
  <c r="I162" i="3"/>
  <c r="G22" i="3"/>
  <c r="F112" i="3"/>
  <c r="I157" i="3"/>
  <c r="G62" i="3"/>
  <c r="I118" i="3"/>
  <c r="I133" i="3"/>
  <c r="G7" i="3"/>
  <c r="G13" i="3"/>
  <c r="G42" i="3"/>
  <c r="I62" i="3"/>
  <c r="G127" i="3"/>
  <c r="I14" i="3"/>
  <c r="G44" i="3"/>
  <c r="I68" i="3"/>
  <c r="G126" i="3"/>
  <c r="I3" i="3"/>
  <c r="G9" i="3"/>
  <c r="G12" i="3"/>
  <c r="F16" i="3"/>
  <c r="G16" i="3"/>
  <c r="F22" i="3"/>
  <c r="F23" i="3"/>
  <c r="I29" i="3"/>
  <c r="I30" i="3"/>
  <c r="F39" i="3"/>
  <c r="I45" i="3"/>
  <c r="I54" i="3"/>
  <c r="I64" i="3"/>
  <c r="G68" i="3"/>
  <c r="I69" i="3"/>
  <c r="F79" i="3"/>
  <c r="F87" i="3"/>
  <c r="F96" i="3"/>
  <c r="I119" i="3"/>
  <c r="G133" i="3"/>
  <c r="G134" i="3"/>
  <c r="G135" i="3"/>
  <c r="I136" i="3"/>
  <c r="G144" i="3"/>
  <c r="I149" i="3"/>
  <c r="I169" i="3"/>
  <c r="G214" i="3"/>
  <c r="F284" i="3"/>
  <c r="F356" i="3"/>
  <c r="G67" i="3"/>
  <c r="F86" i="3"/>
  <c r="I123" i="3"/>
  <c r="F138" i="3"/>
  <c r="I144" i="3"/>
  <c r="G149" i="3"/>
  <c r="I250" i="3"/>
  <c r="F325" i="3"/>
  <c r="G325" i="3"/>
  <c r="F9" i="3"/>
  <c r="F17" i="3"/>
  <c r="F25" i="3"/>
  <c r="I31" i="3"/>
  <c r="I32" i="3"/>
  <c r="G40" i="3"/>
  <c r="I41" i="3"/>
  <c r="G49" i="3"/>
  <c r="F49" i="3"/>
  <c r="G66" i="3"/>
  <c r="I67" i="3"/>
  <c r="G75" i="3"/>
  <c r="I78" i="3"/>
  <c r="F82" i="3"/>
  <c r="G86" i="3"/>
  <c r="I88" i="3"/>
  <c r="F92" i="3"/>
  <c r="G93" i="3"/>
  <c r="F94" i="3"/>
  <c r="G104" i="3"/>
  <c r="I105" i="3"/>
  <c r="G113" i="3"/>
  <c r="F113" i="3"/>
  <c r="F116" i="3"/>
  <c r="G130" i="3"/>
  <c r="I131" i="3"/>
  <c r="G139" i="3"/>
  <c r="I142" i="3"/>
  <c r="F146" i="3"/>
  <c r="G148" i="3"/>
  <c r="I152" i="3"/>
  <c r="F156" i="3"/>
  <c r="F158" i="3"/>
  <c r="I166" i="3"/>
  <c r="F168" i="3"/>
  <c r="F191" i="3"/>
  <c r="G191" i="3"/>
  <c r="F213" i="3"/>
  <c r="G213" i="3"/>
  <c r="G230" i="3"/>
  <c r="F257" i="3"/>
  <c r="F276" i="3"/>
  <c r="F324" i="3"/>
  <c r="I282" i="3"/>
  <c r="F335" i="3"/>
  <c r="G335" i="3"/>
  <c r="G58" i="3"/>
  <c r="I70" i="3"/>
  <c r="G96" i="3"/>
  <c r="G122" i="3"/>
  <c r="F150" i="3"/>
  <c r="F152" i="3"/>
  <c r="I161" i="3"/>
  <c r="F262" i="3"/>
  <c r="F346" i="3"/>
  <c r="F373" i="3"/>
  <c r="F36" i="3"/>
  <c r="G37" i="3"/>
  <c r="F38" i="3"/>
  <c r="G48" i="3"/>
  <c r="I49" i="3"/>
  <c r="G57" i="3"/>
  <c r="F57" i="3"/>
  <c r="G61" i="3"/>
  <c r="G74" i="3"/>
  <c r="I75" i="3"/>
  <c r="I81" i="3"/>
  <c r="G83" i="3"/>
  <c r="I86" i="3"/>
  <c r="I87" i="3"/>
  <c r="I96" i="3"/>
  <c r="F100" i="3"/>
  <c r="G101" i="3"/>
  <c r="F102" i="3"/>
  <c r="F104" i="3"/>
  <c r="G112" i="3"/>
  <c r="G121" i="3"/>
  <c r="F121" i="3"/>
  <c r="F124" i="3"/>
  <c r="G138" i="3"/>
  <c r="I139" i="3"/>
  <c r="I145" i="3"/>
  <c r="G147" i="3"/>
  <c r="I150" i="3"/>
  <c r="F154" i="3"/>
  <c r="G158" i="3"/>
  <c r="I160" i="3"/>
  <c r="F162" i="3"/>
  <c r="G182" i="3"/>
  <c r="F190" i="3"/>
  <c r="F212" i="3"/>
  <c r="F225" i="3"/>
  <c r="G225" i="3"/>
  <c r="I244" i="3"/>
  <c r="G257" i="3"/>
  <c r="F293" i="3"/>
  <c r="G293" i="3"/>
  <c r="I294" i="3"/>
  <c r="F302" i="3"/>
  <c r="F314" i="3"/>
  <c r="G320" i="3"/>
  <c r="G368" i="3"/>
  <c r="G192" i="3"/>
  <c r="F288" i="3"/>
  <c r="I65" i="3"/>
  <c r="F84" i="3"/>
  <c r="I134" i="3"/>
  <c r="G170" i="3"/>
  <c r="F234" i="3"/>
  <c r="I40" i="3"/>
  <c r="F44" i="3"/>
  <c r="G45" i="3"/>
  <c r="F46" i="3"/>
  <c r="G56" i="3"/>
  <c r="I57" i="3"/>
  <c r="G65" i="3"/>
  <c r="F65" i="3"/>
  <c r="F68" i="3"/>
  <c r="G82" i="3"/>
  <c r="I83" i="3"/>
  <c r="G91" i="3"/>
  <c r="I94" i="3"/>
  <c r="I95" i="3"/>
  <c r="I104" i="3"/>
  <c r="F108" i="3"/>
  <c r="G109" i="3"/>
  <c r="F110" i="3"/>
  <c r="G120" i="3"/>
  <c r="I121" i="3"/>
  <c r="G129" i="3"/>
  <c r="F129" i="3"/>
  <c r="F132" i="3"/>
  <c r="G146" i="3"/>
  <c r="I147" i="3"/>
  <c r="G155" i="3"/>
  <c r="I158" i="3"/>
  <c r="F163" i="3"/>
  <c r="G163" i="3"/>
  <c r="F270" i="3"/>
  <c r="I276" i="3"/>
  <c r="F278" i="3"/>
  <c r="I298" i="3"/>
  <c r="I342" i="3"/>
  <c r="F358" i="3"/>
  <c r="F362" i="3"/>
  <c r="I153" i="3"/>
  <c r="F161" i="3"/>
  <c r="G161" i="3"/>
  <c r="I326" i="3"/>
  <c r="G352" i="3"/>
  <c r="G364" i="3"/>
  <c r="F364" i="3"/>
  <c r="I33" i="3"/>
  <c r="G41" i="3"/>
  <c r="F41" i="3"/>
  <c r="G85" i="3"/>
  <c r="G105" i="3"/>
  <c r="F105" i="3"/>
  <c r="G131" i="3"/>
  <c r="F148" i="3"/>
  <c r="G160" i="3"/>
  <c r="I214" i="3"/>
  <c r="F244" i="3"/>
  <c r="G35" i="3"/>
  <c r="I38" i="3"/>
  <c r="I39" i="3"/>
  <c r="G46" i="3"/>
  <c r="I48" i="3"/>
  <c r="F52" i="3"/>
  <c r="G53" i="3"/>
  <c r="F54" i="3"/>
  <c r="F56" i="3"/>
  <c r="G64" i="3"/>
  <c r="G73" i="3"/>
  <c r="F73" i="3"/>
  <c r="G90" i="3"/>
  <c r="I91" i="3"/>
  <c r="I97" i="3"/>
  <c r="G99" i="3"/>
  <c r="I102" i="3"/>
  <c r="I103" i="3"/>
  <c r="I112" i="3"/>
  <c r="G117" i="3"/>
  <c r="F118" i="3"/>
  <c r="F120" i="3"/>
  <c r="G128" i="3"/>
  <c r="I129" i="3"/>
  <c r="G137" i="3"/>
  <c r="F137" i="3"/>
  <c r="G154" i="3"/>
  <c r="I155" i="3"/>
  <c r="I163" i="3"/>
  <c r="I198" i="3"/>
  <c r="F207" i="3"/>
  <c r="G207" i="3"/>
  <c r="G224" i="3"/>
  <c r="F228" i="3"/>
  <c r="G236" i="3"/>
  <c r="F236" i="3"/>
  <c r="F240" i="3"/>
  <c r="G242" i="3"/>
  <c r="G274" i="3"/>
  <c r="F287" i="3"/>
  <c r="G287" i="3"/>
  <c r="F319" i="3"/>
  <c r="G319" i="3"/>
  <c r="F341" i="3"/>
  <c r="G341" i="3"/>
  <c r="F186" i="3"/>
  <c r="G240" i="3"/>
  <c r="I59" i="3"/>
  <c r="I71" i="3"/>
  <c r="I80" i="3"/>
  <c r="G34" i="3"/>
  <c r="F34" i="3"/>
  <c r="I35" i="3"/>
  <c r="G43" i="3"/>
  <c r="I46" i="3"/>
  <c r="I47" i="3"/>
  <c r="I56" i="3"/>
  <c r="F60" i="3"/>
  <c r="F62" i="3"/>
  <c r="G72" i="3"/>
  <c r="I73" i="3"/>
  <c r="G81" i="3"/>
  <c r="F81" i="3"/>
  <c r="G98" i="3"/>
  <c r="I99" i="3"/>
  <c r="G107" i="3"/>
  <c r="I110" i="3"/>
  <c r="I111" i="3"/>
  <c r="I120" i="3"/>
  <c r="G125" i="3"/>
  <c r="F126" i="3"/>
  <c r="F128" i="3"/>
  <c r="G136" i="3"/>
  <c r="I137" i="3"/>
  <c r="G145" i="3"/>
  <c r="F145" i="3"/>
  <c r="G162" i="3"/>
  <c r="I170" i="3"/>
  <c r="F170" i="3"/>
  <c r="F197" i="3"/>
  <c r="G197" i="3"/>
  <c r="G218" i="3"/>
  <c r="F218" i="3"/>
  <c r="G268" i="3"/>
  <c r="F268" i="3"/>
  <c r="F272" i="3"/>
  <c r="I292" i="3"/>
  <c r="F318" i="3"/>
  <c r="F340" i="3"/>
  <c r="F353" i="3"/>
  <c r="G353" i="3"/>
  <c r="F164" i="3"/>
  <c r="F165" i="3"/>
  <c r="F171" i="3"/>
  <c r="G171" i="3"/>
  <c r="F175" i="3"/>
  <c r="G175" i="3"/>
  <c r="F181" i="3"/>
  <c r="G181" i="3"/>
  <c r="I182" i="3"/>
  <c r="G198" i="3"/>
  <c r="F202" i="3"/>
  <c r="G208" i="3"/>
  <c r="F241" i="3"/>
  <c r="F246" i="3"/>
  <c r="G252" i="3"/>
  <c r="F252" i="3"/>
  <c r="F256" i="3"/>
  <c r="G258" i="3"/>
  <c r="I260" i="3"/>
  <c r="I266" i="3"/>
  <c r="F286" i="3"/>
  <c r="F303" i="3"/>
  <c r="G303" i="3"/>
  <c r="F309" i="3"/>
  <c r="G309" i="3"/>
  <c r="I310" i="3"/>
  <c r="F330" i="3"/>
  <c r="I370" i="3"/>
  <c r="I164" i="3"/>
  <c r="F169" i="3"/>
  <c r="G169" i="3"/>
  <c r="G172" i="3"/>
  <c r="F172" i="3"/>
  <c r="F176" i="3"/>
  <c r="G178" i="3"/>
  <c r="I180" i="3"/>
  <c r="I186" i="3"/>
  <c r="F206" i="3"/>
  <c r="F223" i="3"/>
  <c r="G223" i="3"/>
  <c r="F229" i="3"/>
  <c r="G229" i="3"/>
  <c r="I230" i="3"/>
  <c r="G246" i="3"/>
  <c r="F250" i="3"/>
  <c r="G256" i="3"/>
  <c r="F289" i="3"/>
  <c r="F294" i="3"/>
  <c r="G300" i="3"/>
  <c r="F300" i="3"/>
  <c r="F304" i="3"/>
  <c r="G306" i="3"/>
  <c r="I308" i="3"/>
  <c r="I314" i="3"/>
  <c r="F334" i="3"/>
  <c r="F351" i="3"/>
  <c r="G351" i="3"/>
  <c r="F357" i="3"/>
  <c r="G357" i="3"/>
  <c r="I358" i="3"/>
  <c r="F42" i="3"/>
  <c r="F50" i="3"/>
  <c r="F58" i="3"/>
  <c r="F66" i="3"/>
  <c r="F74" i="3"/>
  <c r="F90" i="3"/>
  <c r="F98" i="3"/>
  <c r="F106" i="3"/>
  <c r="F114" i="3"/>
  <c r="G173" i="3"/>
  <c r="F173" i="3"/>
  <c r="F177" i="3"/>
  <c r="F182" i="3"/>
  <c r="G188" i="3"/>
  <c r="F188" i="3"/>
  <c r="F192" i="3"/>
  <c r="G194" i="3"/>
  <c r="I196" i="3"/>
  <c r="I202" i="3"/>
  <c r="F222" i="3"/>
  <c r="F239" i="3"/>
  <c r="G239" i="3"/>
  <c r="F245" i="3"/>
  <c r="G245" i="3"/>
  <c r="I246" i="3"/>
  <c r="F266" i="3"/>
  <c r="G272" i="3"/>
  <c r="G289" i="3"/>
  <c r="F305" i="3"/>
  <c r="F310" i="3"/>
  <c r="F316" i="3"/>
  <c r="F320" i="3"/>
  <c r="G322" i="3"/>
  <c r="I324" i="3"/>
  <c r="I330" i="3"/>
  <c r="F350" i="3"/>
  <c r="F367" i="3"/>
  <c r="G367" i="3"/>
  <c r="F35" i="3"/>
  <c r="F43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G177" i="3"/>
  <c r="F193" i="3"/>
  <c r="F198" i="3"/>
  <c r="G204" i="3"/>
  <c r="F204" i="3"/>
  <c r="F208" i="3"/>
  <c r="I212" i="3"/>
  <c r="I218" i="3"/>
  <c r="F238" i="3"/>
  <c r="F255" i="3"/>
  <c r="G255" i="3"/>
  <c r="F261" i="3"/>
  <c r="G261" i="3"/>
  <c r="I262" i="3"/>
  <c r="F282" i="3"/>
  <c r="G288" i="3"/>
  <c r="G305" i="3"/>
  <c r="F321" i="3"/>
  <c r="F326" i="3"/>
  <c r="F332" i="3"/>
  <c r="G336" i="3"/>
  <c r="F336" i="3"/>
  <c r="G338" i="3"/>
  <c r="I340" i="3"/>
  <c r="I346" i="3"/>
  <c r="I168" i="3"/>
  <c r="G176" i="3"/>
  <c r="G193" i="3"/>
  <c r="F209" i="3"/>
  <c r="F214" i="3"/>
  <c r="G220" i="3"/>
  <c r="F220" i="3"/>
  <c r="F224" i="3"/>
  <c r="G226" i="3"/>
  <c r="I228" i="3"/>
  <c r="I234" i="3"/>
  <c r="F254" i="3"/>
  <c r="F271" i="3"/>
  <c r="G271" i="3"/>
  <c r="F277" i="3"/>
  <c r="G277" i="3"/>
  <c r="I278" i="3"/>
  <c r="F298" i="3"/>
  <c r="G304" i="3"/>
  <c r="G321" i="3"/>
  <c r="F337" i="3"/>
  <c r="F342" i="3"/>
  <c r="F348" i="3"/>
  <c r="F352" i="3"/>
  <c r="I356" i="3"/>
  <c r="I362" i="3"/>
  <c r="F179" i="3"/>
  <c r="I184" i="3"/>
  <c r="F195" i="3"/>
  <c r="I200" i="3"/>
  <c r="F211" i="3"/>
  <c r="I216" i="3"/>
  <c r="F227" i="3"/>
  <c r="I232" i="3"/>
  <c r="F243" i="3"/>
  <c r="I248" i="3"/>
  <c r="F259" i="3"/>
  <c r="I264" i="3"/>
  <c r="G270" i="3"/>
  <c r="F275" i="3"/>
  <c r="I280" i="3"/>
  <c r="G286" i="3"/>
  <c r="F291" i="3"/>
  <c r="G292" i="3"/>
  <c r="I296" i="3"/>
  <c r="G302" i="3"/>
  <c r="F307" i="3"/>
  <c r="I312" i="3"/>
  <c r="G318" i="3"/>
  <c r="F323" i="3"/>
  <c r="I328" i="3"/>
  <c r="G334" i="3"/>
  <c r="F339" i="3"/>
  <c r="G340" i="3"/>
  <c r="I344" i="3"/>
  <c r="G350" i="3"/>
  <c r="F355" i="3"/>
  <c r="I360" i="3"/>
  <c r="G366" i="3"/>
  <c r="G369" i="3"/>
  <c r="F369" i="3"/>
  <c r="F372" i="3"/>
  <c r="G168" i="3"/>
  <c r="G174" i="3"/>
  <c r="I178" i="3"/>
  <c r="F189" i="3"/>
  <c r="G190" i="3"/>
  <c r="I194" i="3"/>
  <c r="F205" i="3"/>
  <c r="G206" i="3"/>
  <c r="I210" i="3"/>
  <c r="F221" i="3"/>
  <c r="G222" i="3"/>
  <c r="I226" i="3"/>
  <c r="F237" i="3"/>
  <c r="G238" i="3"/>
  <c r="I242" i="3"/>
  <c r="F253" i="3"/>
  <c r="G254" i="3"/>
  <c r="I258" i="3"/>
  <c r="F269" i="3"/>
  <c r="I274" i="3"/>
  <c r="F285" i="3"/>
  <c r="I290" i="3"/>
  <c r="F301" i="3"/>
  <c r="I306" i="3"/>
  <c r="F317" i="3"/>
  <c r="I322" i="3"/>
  <c r="G328" i="3"/>
  <c r="F333" i="3"/>
  <c r="I338" i="3"/>
  <c r="G344" i="3"/>
  <c r="F349" i="3"/>
  <c r="I354" i="3"/>
  <c r="F365" i="3"/>
  <c r="I368" i="3"/>
  <c r="F370" i="3"/>
  <c r="G372" i="3"/>
  <c r="G166" i="3"/>
  <c r="F174" i="3"/>
  <c r="I176" i="3"/>
  <c r="F187" i="3"/>
  <c r="G189" i="3"/>
  <c r="I192" i="3"/>
  <c r="F203" i="3"/>
  <c r="G205" i="3"/>
  <c r="I208" i="3"/>
  <c r="F219" i="3"/>
  <c r="G221" i="3"/>
  <c r="I224" i="3"/>
  <c r="F235" i="3"/>
  <c r="I240" i="3"/>
  <c r="F251" i="3"/>
  <c r="I256" i="3"/>
  <c r="G262" i="3"/>
  <c r="F267" i="3"/>
  <c r="I272" i="3"/>
  <c r="G278" i="3"/>
  <c r="F283" i="3"/>
  <c r="G284" i="3"/>
  <c r="I288" i="3"/>
  <c r="G294" i="3"/>
  <c r="F299" i="3"/>
  <c r="I304" i="3"/>
  <c r="G310" i="3"/>
  <c r="F315" i="3"/>
  <c r="G316" i="3"/>
  <c r="I320" i="3"/>
  <c r="G326" i="3"/>
  <c r="F331" i="3"/>
  <c r="G332" i="3"/>
  <c r="I336" i="3"/>
  <c r="G342" i="3"/>
  <c r="F347" i="3"/>
  <c r="G348" i="3"/>
  <c r="I352" i="3"/>
  <c r="G358" i="3"/>
  <c r="F363" i="3"/>
  <c r="F366" i="3"/>
  <c r="G371" i="3"/>
  <c r="I372" i="3"/>
  <c r="C15" i="4"/>
  <c r="B15" i="4"/>
  <c r="C14" i="4"/>
  <c r="I172" i="3"/>
  <c r="I174" i="3"/>
  <c r="G180" i="3"/>
  <c r="F185" i="3"/>
  <c r="G186" i="3"/>
  <c r="I190" i="3"/>
  <c r="G196" i="3"/>
  <c r="F201" i="3"/>
  <c r="G202" i="3"/>
  <c r="G203" i="3"/>
  <c r="I206" i="3"/>
  <c r="G212" i="3"/>
  <c r="F217" i="3"/>
  <c r="G219" i="3"/>
  <c r="I222" i="3"/>
  <c r="G228" i="3"/>
  <c r="F233" i="3"/>
  <c r="G234" i="3"/>
  <c r="G235" i="3"/>
  <c r="I238" i="3"/>
  <c r="G244" i="3"/>
  <c r="F249" i="3"/>
  <c r="G250" i="3"/>
  <c r="G251" i="3"/>
  <c r="I254" i="3"/>
  <c r="G260" i="3"/>
  <c r="F265" i="3"/>
  <c r="G266" i="3"/>
  <c r="G267" i="3"/>
  <c r="I270" i="3"/>
  <c r="G276" i="3"/>
  <c r="F281" i="3"/>
  <c r="G282" i="3"/>
  <c r="G283" i="3"/>
  <c r="I286" i="3"/>
  <c r="F297" i="3"/>
  <c r="G298" i="3"/>
  <c r="G299" i="3"/>
  <c r="I302" i="3"/>
  <c r="G308" i="3"/>
  <c r="F313" i="3"/>
  <c r="G314" i="3"/>
  <c r="G315" i="3"/>
  <c r="I318" i="3"/>
  <c r="G324" i="3"/>
  <c r="F329" i="3"/>
  <c r="G330" i="3"/>
  <c r="G331" i="3"/>
  <c r="I334" i="3"/>
  <c r="F345" i="3"/>
  <c r="G346" i="3"/>
  <c r="G347" i="3"/>
  <c r="I350" i="3"/>
  <c r="G356" i="3"/>
  <c r="F361" i="3"/>
  <c r="G362" i="3"/>
  <c r="G363" i="3"/>
  <c r="I366" i="3"/>
  <c r="F183" i="3"/>
  <c r="G184" i="3"/>
  <c r="G185" i="3"/>
  <c r="I188" i="3"/>
  <c r="F199" i="3"/>
  <c r="G200" i="3"/>
  <c r="I204" i="3"/>
  <c r="G210" i="3"/>
  <c r="F215" i="3"/>
  <c r="G216" i="3"/>
  <c r="I220" i="3"/>
  <c r="F231" i="3"/>
  <c r="G232" i="3"/>
  <c r="I236" i="3"/>
  <c r="F247" i="3"/>
  <c r="G248" i="3"/>
  <c r="I252" i="3"/>
  <c r="F263" i="3"/>
  <c r="G264" i="3"/>
  <c r="I268" i="3"/>
  <c r="F279" i="3"/>
  <c r="G280" i="3"/>
  <c r="I284" i="3"/>
  <c r="F295" i="3"/>
  <c r="G296" i="3"/>
  <c r="I300" i="3"/>
  <c r="F311" i="3"/>
  <c r="G312" i="3"/>
  <c r="I316" i="3"/>
  <c r="F327" i="3"/>
  <c r="I332" i="3"/>
  <c r="F343" i="3"/>
  <c r="I348" i="3"/>
  <c r="G354" i="3"/>
  <c r="F359" i="3"/>
  <c r="G360" i="3"/>
  <c r="I364" i="3"/>
  <c r="G370" i="3"/>
  <c r="F371" i="3"/>
  <c r="C10" i="5" l="1"/>
  <c r="B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<sst xmlns="http://schemas.openxmlformats.org/spreadsheetml/2006/main" count="1138" uniqueCount="231">
  <si>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</si>
  <si>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</si>
  <si>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</si>
  <si>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</si>
  <si>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</si>
  <si>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</si>
  <si>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</si>
  <si>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</si>
  <si>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</si>
  <si>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</si>
  <si>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</si>
  <si>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</si>
  <si>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</si>
  <si>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</si>
  <si>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</si>
  <si>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</si>
  <si>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</si>
  <si>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</si>
  <si>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</si>
  <si>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</si>
  <si>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</si>
  <si>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</si>
  <si>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</si>
  <si>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</si>
  <si>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</si>
  <si>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</si>
  <si>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</si>
  <si>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</si>
  <si>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</si>
  <si>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</si>
  <si>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</si>
  <si>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</si>
  <si>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</si>
  <si>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</si>
  <si>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</si>
  <si>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</si>
  <si>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</si>
  <si>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</si>
  <si>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</si>
  <si>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</si>
  <si>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</si>
  <si>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</si>
  <si>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</si>
  <si>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</si>
  <si>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</si>
  <si>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</si>
  <si>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</si>
  <si>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</si>
  <si>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</si>
  <si>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</si>
  <si>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</si>
  <si>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</si>
  <si>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</si>
  <si>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</si>
  <si>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</si>
  <si>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</si>
  <si>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</si>
  <si>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</si>
  <si>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</si>
  <si>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</si>
  <si>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</si>
  <si>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</si>
  <si>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</si>
  <si>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</si>
  <si>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</si>
  <si>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</si>
  <si>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</si>
  <si>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</si>
  <si>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</si>
  <si>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</si>
  <si>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</si>
  <si>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</si>
  <si>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</si>
  <si>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</si>
  <si>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</si>
  <si>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</si>
  <si>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</si>
  <si>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</si>
  <si>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</si>
  <si>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</si>
  <si>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</si>
  <si>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</si>
  <si>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</si>
  <si>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</si>
  <si>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</si>
  <si>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</si>
  <si>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</si>
  <si>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</si>
  <si>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</si>
  <si>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</si>
  <si>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</si>
  <si>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</si>
  <si>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</si>
  <si>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</si>
  <si>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</si>
  <si>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</si>
  <si>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</si>
  <si>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</si>
  <si>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</si>
  <si>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</si>
  <si>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</si>
  <si>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</si>
  <si>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</si>
  <si>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</si>
  <si>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</si>
  <si>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</si>
  <si>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</si>
  <si>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</si>
  <si>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</si>
  <si>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</si>
  <si>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</si>
  <si>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</si>
  <si>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</si>
  <si>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</si>
  <si>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</si>
  <si>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</si>
  <si>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</si>
  <si>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</si>
  <si>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</si>
  <si>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</si>
  <si>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</si>
  <si>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</si>
  <si>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</si>
  <si>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</si>
  <si>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</si>
  <si>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</si>
  <si>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</si>
  <si>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</si>
  <si>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</si>
  <si>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</si>
  <si>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</si>
  <si>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</si>
  <si>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</si>
  <si>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</si>
  <si>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</si>
  <si>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</si>
  <si>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</si>
  <si>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</si>
  <si>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</si>
  <si>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</si>
  <si>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</si>
  <si>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</si>
  <si>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</si>
  <si>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</si>
  <si>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</si>
  <si>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</si>
  <si>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</si>
  <si>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</si>
  <si>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</si>
  <si>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</si>
  <si>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</si>
  <si>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</si>
  <si>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</si>
  <si>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</si>
  <si>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</si>
  <si>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</si>
  <si>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</si>
  <si>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</si>
  <si>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</si>
  <si>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</si>
  <si>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</si>
  <si>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</si>
  <si>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</si>
  <si>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</si>
  <si>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1. Based on the latest month's data, identify the contribution of different broader categories (food, energy, transportation, education, etc.) towards the CPI basket.</t>
  </si>
  <si>
    <t>Broader categories (buckets) can be created by combining similar categories into one bucket.</t>
  </si>
  <si>
    <t>Example: Meals, Beverages, Cereals can be clubbed to create a "Food" category, etc.</t>
  </si>
  <si>
    <t>Which broader category has the highest contribution towards CPI calculation?</t>
  </si>
  <si>
    <t>Contribution is calculated by evaluating the underlying index values for the broader category and should add to 100% when contribution from different broader categories are added.</t>
  </si>
  <si>
    <t>2. A trend of Y-o-Y increase in CPI (rural + urban) inflation starting 2017 for the entire basket of products combined.</t>
  </si>
  <si>
    <t>Create a graph depicting the growth rate Y-o-Y and identify the year with highest inflation rate.</t>
  </si>
  <si>
    <t>Highlight the reason why the year has the highest inflation (based on research).</t>
  </si>
  <si>
    <t>3. With India's retail inflation reaching a 3-month high of 5.55% in November 2023, largely due to a sharp rise in food prices. Analyze the following for 12 months ending May'23.</t>
  </si>
  <si>
    <t>Investigate trends in the prices of broader food bucket category and evaluate month-on-month changes. Highlight month with highest and lowest food inflation.</t>
  </si>
  <si>
    <t>Identify the absolute changes in inflation over the same 12 months period and identify the biggest individual category contributor (only within broader food category) towards inflation.</t>
  </si>
  <si>
    <t>4. Investigate how the onset and progression of the COVID-19 pandemic affected inflation rates in India. Analyze the impact of key pandemic milestone (first lockdown) on the CPI inflation %, especially focus on categories like healthcare, food, and essential services.</t>
  </si>
  <si>
    <t>Hint: You can consider Mar'20 as the onset of covid, and can compare the inflation trend before and after Mar'20 to see if there is a change in inflation % before and after.</t>
  </si>
  <si>
    <t>5. Investigate how major global economic events (like imported crude oil price fluctuations) have influence India's inflation. This can include an analysis of imported goods and their price trends.</t>
  </si>
  <si>
    <t>For the purpose of this analysis, focus only on the imported oil price fluctuations for years 2021 to 2023 (Month-on-month).</t>
  </si>
  <si>
    <t>Identify trends in oil price change with change in inflation prices of all the categories and identify category whose inflation prices strongly changes with fluctuations in imported oil price (Hint: you can use =CORREL function).</t>
  </si>
  <si>
    <t>Date</t>
  </si>
  <si>
    <t>General Index</t>
  </si>
  <si>
    <t>YoY Inflation %</t>
  </si>
  <si>
    <t>MoM Inflation %</t>
  </si>
  <si>
    <t>Food Index</t>
  </si>
  <si>
    <t>Food MoM %</t>
  </si>
  <si>
    <t>COVID Period</t>
  </si>
  <si>
    <t>Broader Category</t>
  </si>
  <si>
    <t>Index Value</t>
  </si>
  <si>
    <t>Contribution %</t>
  </si>
  <si>
    <t>Raw Category</t>
  </si>
  <si>
    <t>Food</t>
  </si>
  <si>
    <t>Pan, Tobacco &amp; Intoxicants</t>
  </si>
  <si>
    <t>Clothing &amp; Footwear</t>
  </si>
  <si>
    <t>Fuel &amp; Light</t>
  </si>
  <si>
    <t>Household Goods &amp; Services</t>
  </si>
  <si>
    <t>Transport &amp; Communication</t>
  </si>
  <si>
    <t>Recreation &amp; Amusement</t>
  </si>
  <si>
    <t>Personal Care &amp; Effects</t>
  </si>
  <si>
    <t>Total</t>
  </si>
  <si>
    <t>Highest Contribution</t>
  </si>
  <si>
    <t>Highest Inflation Year</t>
  </si>
  <si>
    <t>Research Note</t>
  </si>
  <si>
    <t>Add researched explanation for the highest-inflation year here.</t>
  </si>
  <si>
    <t>Absolute Change</t>
  </si>
  <si>
    <t>Highest Food Inflation</t>
  </si>
  <si>
    <t>Highest Month</t>
  </si>
  <si>
    <t>Lowest Food Inflation</t>
  </si>
  <si>
    <t>Lowest Month</t>
  </si>
  <si>
    <t>General YoY Inflation %</t>
  </si>
  <si>
    <t>Food Inflation %</t>
  </si>
  <si>
    <t>Imported Oil Price</t>
  </si>
  <si>
    <t>Oil MoM %</t>
  </si>
  <si>
    <t>Overall Inflation %</t>
  </si>
  <si>
    <t>Category</t>
  </si>
  <si>
    <t>Correlation</t>
  </si>
  <si>
    <t>Food &amp; Beverages</t>
  </si>
  <si>
    <t>Food MoM</t>
  </si>
  <si>
    <t>Pan MoM</t>
  </si>
  <si>
    <t>Clothing MoM</t>
  </si>
  <si>
    <t>Housing MoM</t>
  </si>
  <si>
    <t>Fuel MoM</t>
  </si>
  <si>
    <t>Household MoM</t>
  </si>
  <si>
    <t>Health MoM</t>
  </si>
  <si>
    <t>Transport MoM</t>
  </si>
  <si>
    <t>Recreation MoM</t>
  </si>
  <si>
    <t>Education MoM</t>
  </si>
  <si>
    <t>Personal Care MoM</t>
  </si>
  <si>
    <t>NA</t>
  </si>
  <si>
    <t>Conclusion</t>
  </si>
  <si>
    <t>Imported oil price fluctuations have the strongest positive correlation with Fuel &amp; Light inflation (33%), followed by Transport &amp; Communication (32%) and Food &amp; Beverages (22%). This indicates that changes in crude oil prices have a noticeable impact on fuel-related and transportation costs in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</si>
</sst>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17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17" fontId="0" fillId="0" borderId="1" xfId="0" applyNumberFormat="1" applyBorder="1"/>
    <xf numFmtId="10" fontId="0" fillId="0" borderId="1" xfId="1" applyNumberFormat="1" applyFont="1" applyBorder="1"/>
    <xf numFmtId="0" fontId="3" fillId="3" borderId="1" xfId="0" applyFont="1" applyFill="1" applyBorder="1" applyAlignment="1">
      <alignment vertical="center"/>
    </xf>
    <xf numFmtId="0" fontId="3" fillId="4" borderId="0" xfId="0" applyFont="1" applyFill="1"/>
    <xf numFmtId="10" fontId="0" fillId="0" borderId="0" xfId="0" applyNumberFormat="1"/>
    <xf numFmtId="0" fontId="0" fillId="4" borderId="0" xfId="0" applyFill="1"/>
    <xf numFmtId="14" fontId="0" fillId="0" borderId="0" xfId="0" applyNumberFormat="1"/>
    <xf numFmtId="9" fontId="0" fillId="0" borderId="1" xfId="1" applyFont="1" applyBorder="1"/>
    <xf numFmtId="0" fontId="3" fillId="4" borderId="1" xfId="0" applyFont="1" applyFill="1" applyBorder="1" applyAlignment="1">
      <alignment vertical="center"/>
    </xf>
    <xf numFmtId="9" fontId="0" fillId="0" borderId="1" xfId="1" applyFont="1" applyBorder="1" applyAlignment="1">
      <alignment vertical="center"/>
    </xf>
    <xf numFmtId="0" fontId="3" fillId="5" borderId="0" xfId="0" applyFont="1" applyFill="1" applyAlignment="1">
      <alignment wrapText="1"/>
    </xf>
    <xf numFmtId="0" fontId="4" fillId="4" borderId="0" xfId="0" applyFont="1" applyFill="1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/>
    <xf numFmtId="9" fontId="5" fillId="4" borderId="1" xfId="1" applyFont="1" applyFill="1" applyBorder="1" applyAlignment="1">
      <alignment vertical="center"/>
    </xf>
    <xf numFmtId="0" fontId="6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/>
    <xf numFmtId="0" fontId="4" fillId="0" borderId="1" xfId="0" applyFont="1" applyBorder="1"/>
    <xf numFmtId="0" fontId="6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CPI YoY Inflation Trend (2017–2023)</a:t>
            </a:r>
          </a:p>
        </c:rich>
      </c:tx>
      <c:layout>
        <c:manualLayout>
          <c:xMode val="edge"/>
          <c:yMode val="edge"/>
          <c:x val="0.2286416977729313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67261904761901E-2"/>
          <c:y val="9.7013888888888886E-2"/>
          <c:w val="0.87151527777777782"/>
          <c:h val="0.8021131944444444"/>
        </c:manualLayout>
      </c:layout>
      <c:lineChart>
        <c:grouping val="standard"/>
        <c:varyColors val="1"/>
        <c:ser>
          <c:idx val="0"/>
          <c:order val="0"/>
          <c:tx>
            <c:strRef>
              <c:f>'Q2_YoY Trend'!$C$1</c:f>
              <c:strCache>
                <c:ptCount val="1"/>
                <c:pt idx="0">
                  <c:v>YoY Inflation %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F3-4526-8837-DFC0769BA05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F3-4526-8837-DFC0769BA05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F3-4526-8837-DFC0769BA05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F3-4526-8837-DFC0769BA05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F3-4526-8837-DFC0769BA05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4F3-4526-8837-DFC0769BA05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4F3-4526-8837-DFC0769BA053}"/>
              </c:ext>
            </c:extLst>
          </c:dPt>
          <c:cat>
            <c:numRef>
              <c:f>'Q2_YoY Trend'!$A$2:$A$8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'Q2_YoY Trend'!$C$2:$C$8</c:f>
              <c:numCache>
                <c:formatCode>0.0%</c:formatCode>
                <c:ptCount val="7"/>
                <c:pt idx="0">
                  <c:v>3.3281733746129971E-2</c:v>
                </c:pt>
                <c:pt idx="1">
                  <c:v>3.9513108614232184E-2</c:v>
                </c:pt>
                <c:pt idx="2">
                  <c:v>3.8961038961038863E-2</c:v>
                </c:pt>
                <c:pt idx="3">
                  <c:v>-0.1135035729298024</c:v>
                </c:pt>
                <c:pt idx="4">
                  <c:v>0.26320250358586517</c:v>
                </c:pt>
                <c:pt idx="5">
                  <c:v>6.6219354838709554E-2</c:v>
                </c:pt>
                <c:pt idx="6">
                  <c:v>3.177461516119684E-2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BB-493C-9B59-AF9A0205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YoY Inflation (%)</a:t>
                </a:r>
              </a:p>
            </c:rich>
          </c:tx>
          <c:layout>
            <c:manualLayout>
              <c:xMode val="edge"/>
              <c:yMode val="edge"/>
              <c:x val="0"/>
              <c:y val="0.3387361111111110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'Q4_COVID Impact'!$B$1:$B$10</c:f>
              <c:strCache>
                <c:ptCount val="10"/>
                <c:pt idx="0">
                  <c:v>General YoY Inflation %</c:v>
                </c:pt>
                <c:pt idx="1">
                  <c:v>5%</c:v>
                </c:pt>
                <c:pt idx="2">
                  <c:v>6%</c:v>
                </c:pt>
                <c:pt idx="3">
                  <c:v>7%</c:v>
                </c:pt>
                <c:pt idx="4">
                  <c:v>8%</c:v>
                </c:pt>
                <c:pt idx="5">
                  <c:v>7%</c:v>
                </c:pt>
                <c:pt idx="6">
                  <c:v>6%</c:v>
                </c:pt>
                <c:pt idx="9">
                  <c:v>6%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'Q4_COVID Impact'!$A$11:$A$13</c:f>
              <c:numCache>
                <c:formatCode>mmm\-yy</c:formatCode>
                <c:ptCount val="3"/>
                <c:pt idx="0">
                  <c:v>44013</c:v>
                </c:pt>
                <c:pt idx="1">
                  <c:v>44044</c:v>
                </c:pt>
                <c:pt idx="2">
                  <c:v>44075</c:v>
                </c:pt>
              </c:numCache>
            </c:numRef>
          </c:cat>
          <c:val>
            <c:numRef>
              <c:f>'Q4_COVID Impact'!$B$11:$B$13</c:f>
              <c:numCache>
                <c:formatCode>0%</c:formatCode>
                <c:ptCount val="3"/>
                <c:pt idx="0">
                  <c:v>5.2704576976421835E-2</c:v>
                </c:pt>
                <c:pt idx="1">
                  <c:v>6.1379310344827687E-2</c:v>
                </c:pt>
                <c:pt idx="2">
                  <c:v>6.104252400548682E-2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A-4A0D-8F52-02CD7EBDE88F}"/>
            </c:ext>
          </c:extLst>
        </c:ser>
        <c:ser>
          <c:idx val="1"/>
          <c:order val="1"/>
          <c:tx>
            <c:strRef>
              <c:f>'Q4_COVID Impact'!$C$1:$C$10</c:f>
              <c:strCache>
                <c:ptCount val="10"/>
                <c:pt idx="0">
                  <c:v>Food Inflation %</c:v>
                </c:pt>
                <c:pt idx="1">
                  <c:v>2%</c:v>
                </c:pt>
                <c:pt idx="2">
                  <c:v>2%</c:v>
                </c:pt>
                <c:pt idx="3">
                  <c:v>2%</c:v>
                </c:pt>
                <c:pt idx="4">
                  <c:v>-1%</c:v>
                </c:pt>
                <c:pt idx="5">
                  <c:v>-2%</c:v>
                </c:pt>
                <c:pt idx="6">
                  <c:v>-1%</c:v>
                </c:pt>
                <c:pt idx="7">
                  <c:v>2%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'Q4_COVID Impact'!$A$11:$A$13</c:f>
              <c:numCache>
                <c:formatCode>mmm\-yy</c:formatCode>
                <c:ptCount val="3"/>
                <c:pt idx="0">
                  <c:v>44013</c:v>
                </c:pt>
                <c:pt idx="1">
                  <c:v>44044</c:v>
                </c:pt>
                <c:pt idx="2">
                  <c:v>44075</c:v>
                </c:pt>
              </c:numCache>
            </c:numRef>
          </c:cat>
          <c:val>
            <c:numRef>
              <c:f>'Q4_COVID Impact'!$C$11:$C$13</c:f>
              <c:numCache>
                <c:formatCode>0%</c:formatCode>
                <c:ptCount val="3"/>
                <c:pt idx="0">
                  <c:v>0</c:v>
                </c:pt>
                <c:pt idx="1">
                  <c:v>1.9480519480519431E-2</c:v>
                </c:pt>
                <c:pt idx="2">
                  <c:v>6.3694267515923553E-3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A-4A0D-8F52-02CD7EBDE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167967"/>
        <c:axId val="1647047647"/>
      </c:lineChart>
      <c:dateAx>
        <c:axId val="1601167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047647"/>
        <c:crosses val="autoZero"/>
        <c:auto val="1"/>
        <c:lblOffset val="100"/>
        <c:baseTimeUnit val="months"/>
      </c:dateAx>
      <c:valAx>
        <c:axId val="16470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6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127000</xdr:colOff>
      <xdr:row>0</xdr:row>
      <xdr:rowOff>0</xdr:rowOff>
    </xdr:from>
    <xdr:ext cx="596075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</xdr:row>
      <xdr:rowOff>50800</xdr:rowOff>
    </xdr:from>
    <xdr:to>
      <xdr:col>15</xdr:col>
      <xdr:colOff>292100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9D4CE-1893-6C5A-9D18-CD287448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1.36328125" bestFit="1" customWidth="1"/>
    <col min="2" max="2" width="4.81640625" bestFit="1" customWidth="1"/>
    <col min="3" max="3" width="10" bestFit="1" customWidth="1"/>
    <col min="4" max="4" width="18.6328125" bestFit="1" customWidth="1"/>
    <col min="5" max="5" width="12.36328125" bestFit="1" customWidth="1"/>
    <col min="6" max="6" width="5.81640625" bestFit="1" customWidth="1"/>
    <col min="7" max="7" width="16.08984375" bestFit="1" customWidth="1"/>
    <col min="8" max="8" width="11.1796875" bestFit="1" customWidth="1"/>
    <col min="9" max="9" width="5.81640625" bestFit="1" customWidth="1"/>
    <col min="10" max="10" width="10" bestFit="1" customWidth="1"/>
    <col min="11" max="11" width="17.81640625" bestFit="1" customWidth="1"/>
    <col min="12" max="12" width="21.54296875" bestFit="1" customWidth="1"/>
    <col min="13" max="13" width="5.90625" bestFit="1" customWidth="1"/>
    <col min="14" max="14" width="21.36328125" bestFit="1" customWidth="1"/>
    <col min="15" max="15" width="31.26953125" bestFit="1" customWidth="1"/>
    <col min="16" max="16" width="17.7265625" bestFit="1" customWidth="1"/>
    <col min="17" max="17" width="25.26953125" bestFit="1" customWidth="1"/>
    <col min="18" max="18" width="7.7265625" bestFit="1" customWidth="1"/>
    <col min="19" max="19" width="8.81640625" bestFit="1" customWidth="1"/>
    <col min="20" max="20" width="19.7265625" bestFit="1" customWidth="1"/>
    <col min="21" max="21" width="7.54296875" bestFit="1" customWidth="1"/>
    <col min="22" max="22" width="12" bestFit="1" customWidth="1"/>
    <col min="23" max="23" width="26.26953125" bestFit="1" customWidth="1"/>
    <col min="24" max="24" width="6.36328125" bestFit="1" customWidth="1"/>
    <col min="25" max="25" width="26.54296875" bestFit="1" customWidth="1"/>
    <col min="26" max="26" width="24.1796875" bestFit="1" customWidth="1"/>
    <col min="27" max="27" width="9.1796875" bestFit="1" customWidth="1"/>
    <col min="28" max="28" width="22.08984375" bestFit="1" customWidth="1"/>
    <col min="29" max="29" width="12.6328125" bestFit="1" customWidth="1"/>
    <col min="30" max="30" width="12.3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32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36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36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37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32</v>
      </c>
      <c r="B9">
        <v>2013</v>
      </c>
      <c r="C9" t="s">
        <v>37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36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37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36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38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32</v>
      </c>
      <c r="B12">
        <v>2013</v>
      </c>
      <c r="C12" t="s">
        <v>38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39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38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39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40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32</v>
      </c>
      <c r="B15">
        <v>2013</v>
      </c>
      <c r="C15" t="s">
        <v>40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39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40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39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41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32</v>
      </c>
      <c r="B18">
        <v>2013</v>
      </c>
      <c r="C18" t="s">
        <v>41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42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41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42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43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32</v>
      </c>
      <c r="B21">
        <v>2013</v>
      </c>
      <c r="C21" t="s">
        <v>43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44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43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44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45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32</v>
      </c>
      <c r="B24">
        <v>2013</v>
      </c>
      <c r="C24" t="s">
        <v>45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46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45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46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47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32</v>
      </c>
      <c r="B27">
        <v>2013</v>
      </c>
      <c r="C27" t="s">
        <v>47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48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47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48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49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32</v>
      </c>
      <c r="B30">
        <v>2013</v>
      </c>
      <c r="C30" t="s">
        <v>49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50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49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50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51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32</v>
      </c>
      <c r="B33">
        <v>2013</v>
      </c>
      <c r="C33" t="s">
        <v>52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53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52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53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32</v>
      </c>
      <c r="B36">
        <v>2013</v>
      </c>
      <c r="C36" t="s">
        <v>54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55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54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55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32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57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57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37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32</v>
      </c>
      <c r="B45">
        <v>2014</v>
      </c>
      <c r="C45" t="s">
        <v>37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58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59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58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38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32</v>
      </c>
      <c r="B48">
        <v>2014</v>
      </c>
      <c r="C48" t="s">
        <v>38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60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38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60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40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32</v>
      </c>
      <c r="B51">
        <v>2014</v>
      </c>
      <c r="C51" t="s">
        <v>40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61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40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61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41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32</v>
      </c>
      <c r="B54">
        <v>2014</v>
      </c>
      <c r="C54" t="s">
        <v>41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60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41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60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43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32</v>
      </c>
      <c r="B57">
        <v>2014</v>
      </c>
      <c r="C57" t="s">
        <v>43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62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43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62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45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32</v>
      </c>
      <c r="B60">
        <v>2014</v>
      </c>
      <c r="C60" t="s">
        <v>45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63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45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63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47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32</v>
      </c>
      <c r="B63">
        <v>2014</v>
      </c>
      <c r="C63" t="s">
        <v>47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64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47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64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49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32</v>
      </c>
      <c r="B66">
        <v>2014</v>
      </c>
      <c r="C66" t="s">
        <v>49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65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49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65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52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32</v>
      </c>
      <c r="B69">
        <v>2014</v>
      </c>
      <c r="C69" t="s">
        <v>52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66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52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66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32</v>
      </c>
      <c r="B72">
        <v>2014</v>
      </c>
      <c r="C72" t="s">
        <v>54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67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54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67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68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68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32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69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69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37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32</v>
      </c>
      <c r="B81">
        <v>2015</v>
      </c>
      <c r="C81" t="s">
        <v>37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70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37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70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38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32</v>
      </c>
      <c r="B84">
        <v>2015</v>
      </c>
      <c r="C84" t="s">
        <v>38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71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38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71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40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32</v>
      </c>
      <c r="B87">
        <v>2015</v>
      </c>
      <c r="C87" t="s">
        <v>40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72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40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72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41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32</v>
      </c>
      <c r="B90">
        <v>2015</v>
      </c>
      <c r="C90" t="s">
        <v>41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73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41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73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43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32</v>
      </c>
      <c r="B93">
        <v>2015</v>
      </c>
      <c r="C93" t="s">
        <v>43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74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43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74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45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32</v>
      </c>
      <c r="B96">
        <v>2015</v>
      </c>
      <c r="C96" t="s">
        <v>45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75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45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75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47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32</v>
      </c>
      <c r="B99">
        <v>2015</v>
      </c>
      <c r="C99" t="s">
        <v>47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47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49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32</v>
      </c>
      <c r="B102">
        <v>2015</v>
      </c>
      <c r="C102" t="s">
        <v>49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77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49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77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52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32</v>
      </c>
      <c r="B105">
        <v>2015</v>
      </c>
      <c r="C105" t="s">
        <v>52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78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52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78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32</v>
      </c>
      <c r="B108">
        <v>2015</v>
      </c>
      <c r="C108" t="s">
        <v>54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77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54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77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79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79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32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80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80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37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32</v>
      </c>
      <c r="B117">
        <v>2016</v>
      </c>
      <c r="C117" t="s">
        <v>37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81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37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81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38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32</v>
      </c>
      <c r="B120">
        <v>2016</v>
      </c>
      <c r="C120" t="s">
        <v>38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82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38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82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40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32</v>
      </c>
      <c r="B123">
        <v>2016</v>
      </c>
      <c r="C123" t="s">
        <v>40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83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40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83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41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32</v>
      </c>
      <c r="B126">
        <v>2016</v>
      </c>
      <c r="C126" t="s">
        <v>41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84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41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84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43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32</v>
      </c>
      <c r="B129">
        <v>2016</v>
      </c>
      <c r="C129" t="s">
        <v>43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85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43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85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45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32</v>
      </c>
      <c r="B132">
        <v>2016</v>
      </c>
      <c r="C132" t="s">
        <v>45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86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45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86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47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32</v>
      </c>
      <c r="B135">
        <v>2016</v>
      </c>
      <c r="C135" t="s">
        <v>47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87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47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87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49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32</v>
      </c>
      <c r="B138">
        <v>2016</v>
      </c>
      <c r="C138" t="s">
        <v>49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88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49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88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52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32</v>
      </c>
      <c r="B141">
        <v>2016</v>
      </c>
      <c r="C141" t="s">
        <v>52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89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52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89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32</v>
      </c>
      <c r="B144">
        <v>2016</v>
      </c>
      <c r="C144" t="s">
        <v>54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90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54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90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91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91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32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92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92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37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32</v>
      </c>
      <c r="B153">
        <v>2017</v>
      </c>
      <c r="C153" t="s">
        <v>37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93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37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93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38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32</v>
      </c>
      <c r="B156">
        <v>2017</v>
      </c>
      <c r="C156" t="s">
        <v>38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94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38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94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40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32</v>
      </c>
      <c r="B159">
        <v>2017</v>
      </c>
      <c r="C159" t="s">
        <v>40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95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40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95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41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32</v>
      </c>
      <c r="B162">
        <v>2017</v>
      </c>
      <c r="C162" t="s">
        <v>41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96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41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96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43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32</v>
      </c>
      <c r="B165">
        <v>2017</v>
      </c>
      <c r="C165" t="s">
        <v>43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97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43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97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45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32</v>
      </c>
      <c r="B168">
        <v>2017</v>
      </c>
      <c r="C168" t="s">
        <v>45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98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45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98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47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32</v>
      </c>
      <c r="B171">
        <v>2017</v>
      </c>
      <c r="C171" t="s">
        <v>47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47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49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32</v>
      </c>
      <c r="B174">
        <v>2017</v>
      </c>
      <c r="C174" t="s">
        <v>49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100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49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100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52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32</v>
      </c>
      <c r="B177">
        <v>2017</v>
      </c>
      <c r="C177" t="s">
        <v>52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101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52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101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32</v>
      </c>
      <c r="B180">
        <v>2017</v>
      </c>
      <c r="C180" t="s">
        <v>54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102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54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102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103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103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32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104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104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37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32</v>
      </c>
      <c r="B189">
        <v>2018</v>
      </c>
      <c r="C189" t="s">
        <v>37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105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37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105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38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32</v>
      </c>
      <c r="B192">
        <v>2018</v>
      </c>
      <c r="C192" t="s">
        <v>38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106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38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106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40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32</v>
      </c>
      <c r="B195">
        <v>2018</v>
      </c>
      <c r="C195" t="s">
        <v>40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107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40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107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41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32</v>
      </c>
      <c r="B198">
        <v>2018</v>
      </c>
      <c r="C198" t="s">
        <v>41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108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41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108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43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32</v>
      </c>
      <c r="B201">
        <v>2018</v>
      </c>
      <c r="C201" t="s">
        <v>43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109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43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109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45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32</v>
      </c>
      <c r="B204">
        <v>2018</v>
      </c>
      <c r="C204" t="s">
        <v>45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110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45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110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47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32</v>
      </c>
      <c r="B207">
        <v>2018</v>
      </c>
      <c r="C207" t="s">
        <v>47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47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49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32</v>
      </c>
      <c r="B210">
        <v>2018</v>
      </c>
      <c r="C210" t="s">
        <v>49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112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49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113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52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32</v>
      </c>
      <c r="B213">
        <v>2018</v>
      </c>
      <c r="C213" t="s">
        <v>52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113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52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113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32</v>
      </c>
      <c r="B216">
        <v>2018</v>
      </c>
      <c r="C216" t="s">
        <v>54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114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54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114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115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115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32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116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116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37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32</v>
      </c>
      <c r="B225">
        <v>2019</v>
      </c>
      <c r="C225" t="s">
        <v>37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117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37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117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40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32</v>
      </c>
      <c r="B228">
        <v>2019</v>
      </c>
      <c r="C228" t="s">
        <v>40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118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40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118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41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32</v>
      </c>
      <c r="B231">
        <v>2019</v>
      </c>
      <c r="C231" t="s">
        <v>41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119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41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119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43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32</v>
      </c>
      <c r="B234">
        <v>2019</v>
      </c>
      <c r="C234" t="s">
        <v>43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120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43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120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45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32</v>
      </c>
      <c r="B237">
        <v>2019</v>
      </c>
      <c r="C237" t="s">
        <v>45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121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45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121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47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32</v>
      </c>
      <c r="B240">
        <v>2019</v>
      </c>
      <c r="C240" t="s">
        <v>47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122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47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122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49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32</v>
      </c>
      <c r="B243">
        <v>2019</v>
      </c>
      <c r="C243" t="s">
        <v>49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49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52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32</v>
      </c>
      <c r="B246">
        <v>2019</v>
      </c>
      <c r="C246" t="s">
        <v>52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124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52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124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32</v>
      </c>
      <c r="B249">
        <v>2019</v>
      </c>
      <c r="C249" t="s">
        <v>54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125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54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125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126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126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32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127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127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37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32</v>
      </c>
      <c r="B258">
        <v>2020</v>
      </c>
      <c r="C258" t="s">
        <v>37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128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37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128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38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V260">
        <v>148.4</v>
      </c>
      <c r="X260">
        <v>154.30000000000001</v>
      </c>
    </row>
    <row r="261" spans="1:30" x14ac:dyDescent="0.35">
      <c r="A261" t="s">
        <v>32</v>
      </c>
      <c r="B261">
        <v>2020</v>
      </c>
      <c r="C261" t="s">
        <v>38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129</v>
      </c>
      <c r="V261">
        <v>137.1</v>
      </c>
      <c r="X261">
        <v>144.80000000000001</v>
      </c>
    </row>
    <row r="262" spans="1:30" x14ac:dyDescent="0.35">
      <c r="A262" t="s">
        <v>34</v>
      </c>
      <c r="B262">
        <v>2020</v>
      </c>
      <c r="C262" t="s">
        <v>38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129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40</v>
      </c>
    </row>
    <row r="264" spans="1:30" x14ac:dyDescent="0.35">
      <c r="A264" t="s">
        <v>32</v>
      </c>
      <c r="B264">
        <v>2020</v>
      </c>
      <c r="C264" t="s">
        <v>40</v>
      </c>
    </row>
    <row r="265" spans="1:30" x14ac:dyDescent="0.35">
      <c r="A265" t="s">
        <v>34</v>
      </c>
      <c r="B265">
        <v>2020</v>
      </c>
      <c r="C265" t="s">
        <v>40</v>
      </c>
    </row>
    <row r="266" spans="1:30" x14ac:dyDescent="0.35">
      <c r="A266" t="s">
        <v>30</v>
      </c>
      <c r="B266">
        <v>2020</v>
      </c>
      <c r="C266" t="s">
        <v>41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32</v>
      </c>
      <c r="B267">
        <v>2020</v>
      </c>
      <c r="C267" t="s">
        <v>41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130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41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130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43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32</v>
      </c>
      <c r="B270">
        <v>2020</v>
      </c>
      <c r="C270" t="s">
        <v>43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130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34</v>
      </c>
      <c r="B271">
        <v>2020</v>
      </c>
      <c r="C271" t="s">
        <v>43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130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45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32</v>
      </c>
      <c r="B273">
        <v>2020</v>
      </c>
      <c r="C273" t="s">
        <v>45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131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34</v>
      </c>
      <c r="B274">
        <v>2020</v>
      </c>
      <c r="C274" t="s">
        <v>45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131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47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32</v>
      </c>
      <c r="B276">
        <v>2020</v>
      </c>
      <c r="C276" t="s">
        <v>47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132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34</v>
      </c>
      <c r="B277">
        <v>2020</v>
      </c>
      <c r="C277" t="s">
        <v>47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132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49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32</v>
      </c>
      <c r="B279">
        <v>2020</v>
      </c>
      <c r="C279" t="s">
        <v>49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133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34</v>
      </c>
      <c r="B280">
        <v>2020</v>
      </c>
      <c r="C280" t="s">
        <v>49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133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52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32</v>
      </c>
      <c r="B282">
        <v>2020</v>
      </c>
      <c r="C282" t="s">
        <v>52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134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34</v>
      </c>
      <c r="B283">
        <v>2020</v>
      </c>
      <c r="C283" t="s">
        <v>52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134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32</v>
      </c>
      <c r="B285">
        <v>2020</v>
      </c>
      <c r="C285" t="s">
        <v>54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135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34</v>
      </c>
      <c r="B286">
        <v>2020</v>
      </c>
      <c r="C286" t="s">
        <v>54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135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136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136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32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137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137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37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32</v>
      </c>
      <c r="B294">
        <v>2021</v>
      </c>
      <c r="C294" t="s">
        <v>37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139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34</v>
      </c>
      <c r="B295">
        <v>2021</v>
      </c>
      <c r="C295" t="s">
        <v>37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139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38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32</v>
      </c>
      <c r="B297">
        <v>2021</v>
      </c>
      <c r="C297" t="s">
        <v>38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140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34</v>
      </c>
      <c r="B298">
        <v>2021</v>
      </c>
      <c r="C298" t="s">
        <v>38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140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40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32</v>
      </c>
      <c r="B300">
        <v>2021</v>
      </c>
      <c r="C300" t="s">
        <v>40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141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34</v>
      </c>
      <c r="B301">
        <v>2021</v>
      </c>
      <c r="C301" t="s">
        <v>40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141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41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32</v>
      </c>
      <c r="B303">
        <v>2021</v>
      </c>
      <c r="C303" t="s">
        <v>41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142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34</v>
      </c>
      <c r="B304">
        <v>2021</v>
      </c>
      <c r="C304" t="s">
        <v>41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142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43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32</v>
      </c>
      <c r="B306">
        <v>2021</v>
      </c>
      <c r="C306" t="s">
        <v>43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143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34</v>
      </c>
      <c r="B307">
        <v>2021</v>
      </c>
      <c r="C307" t="s">
        <v>43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143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45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32</v>
      </c>
      <c r="B309">
        <v>2021</v>
      </c>
      <c r="C309" t="s">
        <v>45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144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45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144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47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32</v>
      </c>
      <c r="B312">
        <v>2021</v>
      </c>
      <c r="C312" t="s">
        <v>47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144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34</v>
      </c>
      <c r="B313">
        <v>2021</v>
      </c>
      <c r="C313" t="s">
        <v>47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144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49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32</v>
      </c>
      <c r="B315">
        <v>2021</v>
      </c>
      <c r="C315" t="s">
        <v>49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145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34</v>
      </c>
      <c r="B316">
        <v>2021</v>
      </c>
      <c r="C316" t="s">
        <v>49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145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52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32</v>
      </c>
      <c r="B318">
        <v>2021</v>
      </c>
      <c r="C318" t="s">
        <v>52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146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34</v>
      </c>
      <c r="B319">
        <v>2021</v>
      </c>
      <c r="C319" t="s">
        <v>52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146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32</v>
      </c>
      <c r="B321">
        <v>2021</v>
      </c>
      <c r="C321" t="s">
        <v>54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147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34</v>
      </c>
      <c r="B322">
        <v>2021</v>
      </c>
      <c r="C322" t="s">
        <v>54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147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148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148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32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149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149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37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32</v>
      </c>
      <c r="B330">
        <v>2022</v>
      </c>
      <c r="C330" t="s">
        <v>37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150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34</v>
      </c>
      <c r="B331">
        <v>2022</v>
      </c>
      <c r="C331" t="s">
        <v>37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150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38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32</v>
      </c>
      <c r="B333">
        <v>2022</v>
      </c>
      <c r="C333" t="s">
        <v>38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151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34</v>
      </c>
      <c r="B334">
        <v>2022</v>
      </c>
      <c r="C334" t="s">
        <v>38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151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40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32</v>
      </c>
      <c r="B336">
        <v>2022</v>
      </c>
      <c r="C336" t="s">
        <v>40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152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34</v>
      </c>
      <c r="B337">
        <v>2022</v>
      </c>
      <c r="C337" t="s">
        <v>40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152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41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32</v>
      </c>
      <c r="B339">
        <v>2022</v>
      </c>
      <c r="C339" t="s">
        <v>41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153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34</v>
      </c>
      <c r="B340">
        <v>2022</v>
      </c>
      <c r="C340" t="s">
        <v>41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153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43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32</v>
      </c>
      <c r="B342">
        <v>2022</v>
      </c>
      <c r="C342" t="s">
        <v>43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154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34</v>
      </c>
      <c r="B343">
        <v>2022</v>
      </c>
      <c r="C343" t="s">
        <v>43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154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45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32</v>
      </c>
      <c r="B345">
        <v>2022</v>
      </c>
      <c r="C345" t="s">
        <v>45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155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34</v>
      </c>
      <c r="B346">
        <v>2022</v>
      </c>
      <c r="C346" t="s">
        <v>45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155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47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32</v>
      </c>
      <c r="B348">
        <v>2022</v>
      </c>
      <c r="C348" t="s">
        <v>47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156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34</v>
      </c>
      <c r="B349">
        <v>2022</v>
      </c>
      <c r="C349" t="s">
        <v>47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156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49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32</v>
      </c>
      <c r="B351">
        <v>2022</v>
      </c>
      <c r="C351" t="s">
        <v>49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157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34</v>
      </c>
      <c r="B352">
        <v>2022</v>
      </c>
      <c r="C352" t="s">
        <v>49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157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52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32</v>
      </c>
      <c r="B354">
        <v>2022</v>
      </c>
      <c r="C354" t="s">
        <v>52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34</v>
      </c>
      <c r="B355">
        <v>2022</v>
      </c>
      <c r="C355" t="s">
        <v>52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32</v>
      </c>
      <c r="B357">
        <v>2022</v>
      </c>
      <c r="C357" t="s">
        <v>54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159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34</v>
      </c>
      <c r="B358">
        <v>2022</v>
      </c>
      <c r="C358" t="s">
        <v>54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159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160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160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32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161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161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37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32</v>
      </c>
      <c r="B366">
        <v>2023</v>
      </c>
      <c r="C366" t="s">
        <v>37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161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34</v>
      </c>
      <c r="B367">
        <v>2023</v>
      </c>
      <c r="C367" t="s">
        <v>37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161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38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32</v>
      </c>
      <c r="B369">
        <v>2023</v>
      </c>
      <c r="C369" t="s">
        <v>38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34</v>
      </c>
      <c r="B370">
        <v>2023</v>
      </c>
      <c r="C370" t="s">
        <v>38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40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32</v>
      </c>
      <c r="B372">
        <v>2023</v>
      </c>
      <c r="C372" t="s">
        <v>40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163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34</v>
      </c>
      <c r="B373">
        <v>2023</v>
      </c>
      <c r="C373" t="s">
        <v>40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163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5"/>
  <sheetViews>
    <sheetView zoomScale="55" workbookViewId="0">
      <selection activeCell="A3" sqref="A3"/>
    </sheetView>
  </sheetViews>
  <sheetFormatPr defaultRowHeight="14.5" x14ac:dyDescent="0.35"/>
  <cols>
    <col min="1" max="1" width="105" customWidth="1"/>
    <col min="2" max="3" width="100" customWidth="1"/>
  </cols>
  <sheetData>
    <row r="1" spans="1:5" ht="70" customHeight="1" x14ac:dyDescent="0.35">
      <c r="A1" s="25" t="s">
        <v>164</v>
      </c>
      <c r="B1" s="26" t="s">
        <v>165</v>
      </c>
      <c r="C1" s="26" t="s">
        <v>166</v>
      </c>
      <c r="D1" s="26" t="s">
        <v>167</v>
      </c>
      <c r="E1" s="26" t="s">
        <v>168</v>
      </c>
    </row>
    <row r="2" spans="1:5" ht="70" customHeight="1" x14ac:dyDescent="0.45">
      <c r="A2" s="27" t="s">
        <v>169</v>
      </c>
      <c r="B2" s="28" t="s">
        <v>170</v>
      </c>
      <c r="C2" s="28" t="s">
        <v>171</v>
      </c>
      <c r="D2" s="29"/>
      <c r="E2" s="30"/>
    </row>
    <row r="3" spans="1:5" ht="70" customHeight="1" x14ac:dyDescent="0.45">
      <c r="A3" s="31" t="s">
        <v>172</v>
      </c>
      <c r="B3" s="32" t="s">
        <v>173</v>
      </c>
      <c r="C3" s="32" t="s">
        <v>174</v>
      </c>
      <c r="D3" s="30"/>
      <c r="E3" s="30"/>
    </row>
    <row r="4" spans="1:5" ht="70" customHeight="1" x14ac:dyDescent="0.45">
      <c r="A4" s="33" t="s">
        <v>175</v>
      </c>
      <c r="B4" s="34" t="s">
        <v>176</v>
      </c>
      <c r="C4" s="30"/>
      <c r="D4" s="30"/>
      <c r="E4" s="30"/>
    </row>
    <row r="5" spans="1:5" ht="70" customHeight="1" x14ac:dyDescent="0.45">
      <c r="A5" s="33" t="s">
        <v>177</v>
      </c>
      <c r="B5" s="34" t="s">
        <v>178</v>
      </c>
      <c r="C5" s="34" t="s">
        <v>179</v>
      </c>
      <c r="D5" s="35"/>
      <c r="E5" s="3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J373"/>
  <sheetViews>
    <sheetView workbookViewId="0">
      <pane ySplit="1" topLeftCell="A43" activePane="bottomLeft" state="frozen"/>
      <selection pane="bottomLeft" activeCell="F38" sqref="F38"/>
    </sheetView>
  </sheetViews>
  <sheetFormatPr defaultRowHeight="14.5" x14ac:dyDescent="0.35"/>
  <cols>
    <col min="1" max="1" width="16" customWidth="1"/>
    <col min="2" max="2" width="10" customWidth="1"/>
    <col min="3" max="3" width="14" customWidth="1"/>
    <col min="4" max="4" width="12" customWidth="1"/>
    <col min="5" max="5" width="16" customWidth="1"/>
    <col min="6" max="7" width="18" customWidth="1"/>
    <col min="8" max="9" width="14" customWidth="1"/>
    <col min="10" max="10" width="2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</row>
    <row r="2" spans="1:10" x14ac:dyDescent="0.35">
      <c r="A2" t="str">
        <f>'Row Data'!A2</f>
        <v>Rural</v>
      </c>
      <c r="B2">
        <f>'Row Data'!B2</f>
        <v>2013</v>
      </c>
      <c r="C2" t="str">
        <f>'Row Data'!C2</f>
        <v>January</v>
      </c>
      <c r="D2" s="2">
        <f>DATE(B2,MATCH(C2,{"January","February","March","April","May","June","July","August","September","October","November","December"},0),1)</f>
        <v>41275</v>
      </c>
      <c r="E2">
        <f>'Row Data'!AD2</f>
        <v>105.1</v>
      </c>
      <c r="F2" s="3" t="str">
        <f t="shared" ref="F2:F65" si="0">IFERROR(E2/SUMIFS($E:$E,$A:$A,A2,$B:$B,B2-1,$C:$C,C2)-1,"")</f>
        <v/>
      </c>
      <c r="G2" s="3" t="str">
        <f t="shared" ref="G2:G65" si="1">IFERROR(E2/SUMIFS($E:$E,$A:$A,A2,$D:$D,EDATE(D2,-1))-1,"")</f>
        <v/>
      </c>
      <c r="H2">
        <f>'Row Data'!P2</f>
        <v>105.5</v>
      </c>
      <c r="I2" s="3" t="str">
        <f t="shared" ref="I2:I65" si="2">IFERROR(H2/SUMIFS($H:$H,$A:$A,A2,$D:$D,EDATE(D2,-1))-1,"")</f>
        <v/>
      </c>
      <c r="J2" t="str">
        <f t="shared" ref="J2:J65" si="3">IF(D2&lt;DATE(2020,3,1),"Pre-COVID",IF(D2=DATE(2020,3,1),"COVID Onset / Mar-20",IF(D2&lt;=DATE(2021,12,31),"COVID Period","Post-COVID")))</f>
        <v>Pre-COVID</v>
      </c>
    </row>
    <row r="3" spans="1:10" x14ac:dyDescent="0.35">
      <c r="A3" t="str">
        <f>'Row Data'!A3</f>
        <v>Urban</v>
      </c>
      <c r="B3">
        <f>'Row Data'!B3</f>
        <v>2013</v>
      </c>
      <c r="C3" t="str">
        <f>'Row Data'!C3</f>
        <v>January</v>
      </c>
      <c r="D3" s="2">
        <f>DATE(B3,MATCH(C3,{"January","February","March","April","May","June","July","August","September","October","November","December"},0),1)</f>
        <v>41275</v>
      </c>
      <c r="E3">
        <f>'Row Data'!AD3</f>
        <v>104</v>
      </c>
      <c r="F3" s="3" t="str">
        <f t="shared" si="0"/>
        <v/>
      </c>
      <c r="G3" s="3" t="str">
        <f t="shared" si="1"/>
        <v/>
      </c>
      <c r="H3">
        <f>'Row Data'!P3</f>
        <v>105.9</v>
      </c>
      <c r="I3" s="3" t="str">
        <f t="shared" si="2"/>
        <v/>
      </c>
      <c r="J3" t="str">
        <f t="shared" si="3"/>
        <v>Pre-COVID</v>
      </c>
    </row>
    <row r="4" spans="1:10" x14ac:dyDescent="0.35">
      <c r="A4" t="str">
        <f>'Row Data'!A4</f>
        <v>Rural+Urban</v>
      </c>
      <c r="B4">
        <f>'Row Data'!B4</f>
        <v>2013</v>
      </c>
      <c r="C4" t="str">
        <f>'Row Data'!C4</f>
        <v>January</v>
      </c>
      <c r="D4" s="2">
        <f>DATE(B4,MATCH(C4,{"January","February","March","April","May","June","July","August","September","October","November","December"},0),1)</f>
        <v>41275</v>
      </c>
      <c r="E4">
        <f>'Row Data'!AD4</f>
        <v>104.6</v>
      </c>
      <c r="F4" s="3" t="str">
        <f t="shared" si="0"/>
        <v/>
      </c>
      <c r="G4" s="3" t="str">
        <f t="shared" si="1"/>
        <v/>
      </c>
      <c r="H4">
        <f>'Row Data'!P4</f>
        <v>105.6</v>
      </c>
      <c r="I4" s="3" t="str">
        <f t="shared" si="2"/>
        <v/>
      </c>
      <c r="J4" t="str">
        <f t="shared" si="3"/>
        <v>Pre-COVID</v>
      </c>
    </row>
    <row r="5" spans="1:10" x14ac:dyDescent="0.35">
      <c r="A5" t="str">
        <f>'Row Data'!A5</f>
        <v>Rural</v>
      </c>
      <c r="B5">
        <f>'Row Data'!B5</f>
        <v>2013</v>
      </c>
      <c r="C5" t="str">
        <f>'Row Data'!C5</f>
        <v>February</v>
      </c>
      <c r="D5" s="2">
        <f>DATE(B5,MATCH(C5,{"January","February","March","April","May","June","July","August","September","October","November","December"},0),1)</f>
        <v>41306</v>
      </c>
      <c r="E5">
        <f>'Row Data'!AD5</f>
        <v>105.8</v>
      </c>
      <c r="F5" s="3" t="str">
        <f t="shared" si="0"/>
        <v/>
      </c>
      <c r="G5" s="3">
        <f t="shared" si="1"/>
        <v>6.6603235014273121E-3</v>
      </c>
      <c r="H5">
        <f>'Row Data'!P5</f>
        <v>106.3</v>
      </c>
      <c r="I5" s="3">
        <f t="shared" si="2"/>
        <v>7.5829383886256707E-3</v>
      </c>
      <c r="J5" t="str">
        <f t="shared" si="3"/>
        <v>Pre-COVID</v>
      </c>
    </row>
    <row r="6" spans="1:10" x14ac:dyDescent="0.35">
      <c r="A6" t="str">
        <f>'Row Data'!A6</f>
        <v>Urban</v>
      </c>
      <c r="B6">
        <f>'Row Data'!B6</f>
        <v>2013</v>
      </c>
      <c r="C6" t="str">
        <f>'Row Data'!C6</f>
        <v>February</v>
      </c>
      <c r="D6" s="2">
        <f>DATE(B6,MATCH(C6,{"January","February","March","April","May","June","July","August","September","October","November","December"},0),1)</f>
        <v>41306</v>
      </c>
      <c r="E6">
        <f>'Row Data'!AD6</f>
        <v>104.7</v>
      </c>
      <c r="F6" s="3" t="str">
        <f t="shared" si="0"/>
        <v/>
      </c>
      <c r="G6" s="3">
        <f t="shared" si="1"/>
        <v>6.7307692307692069E-3</v>
      </c>
      <c r="H6">
        <f>'Row Data'!P6</f>
        <v>107.2</v>
      </c>
      <c r="I6" s="3">
        <f t="shared" si="2"/>
        <v>1.227573182247399E-2</v>
      </c>
      <c r="J6" t="str">
        <f t="shared" si="3"/>
        <v>Pre-COVID</v>
      </c>
    </row>
    <row r="7" spans="1:10" x14ac:dyDescent="0.35">
      <c r="A7" t="str">
        <f>'Row Data'!A7</f>
        <v>Rural+Urban</v>
      </c>
      <c r="B7">
        <f>'Row Data'!B7</f>
        <v>2013</v>
      </c>
      <c r="C7" t="str">
        <f>'Row Data'!C7</f>
        <v>February</v>
      </c>
      <c r="D7" s="2">
        <f>DATE(B7,MATCH(C7,{"January","February","March","April","May","June","July","August","September","October","November","December"},0),1)</f>
        <v>41306</v>
      </c>
      <c r="E7">
        <f>'Row Data'!AD7</f>
        <v>105.3</v>
      </c>
      <c r="F7" s="3" t="str">
        <f t="shared" si="0"/>
        <v/>
      </c>
      <c r="G7" s="3">
        <f t="shared" si="1"/>
        <v>6.6921606118546251E-3</v>
      </c>
      <c r="H7">
        <f>'Row Data'!P7</f>
        <v>106.6</v>
      </c>
      <c r="I7" s="3">
        <f t="shared" si="2"/>
        <v>9.4696969696970168E-3</v>
      </c>
      <c r="J7" t="str">
        <f t="shared" si="3"/>
        <v>Pre-COVID</v>
      </c>
    </row>
    <row r="8" spans="1:10" x14ac:dyDescent="0.35">
      <c r="A8" t="str">
        <f>'Row Data'!A8</f>
        <v>Rural</v>
      </c>
      <c r="B8">
        <f>'Row Data'!B8</f>
        <v>2013</v>
      </c>
      <c r="C8" t="str">
        <f>'Row Data'!C8</f>
        <v>March</v>
      </c>
      <c r="D8" s="2">
        <f>DATE(B8,MATCH(C8,{"January","February","March","April","May","June","July","August","September","October","November","December"},0),1)</f>
        <v>41334</v>
      </c>
      <c r="E8">
        <f>'Row Data'!AD8</f>
        <v>106</v>
      </c>
      <c r="F8" s="3" t="str">
        <f t="shared" si="0"/>
        <v/>
      </c>
      <c r="G8" s="3">
        <f t="shared" si="1"/>
        <v>1.890359168241984E-3</v>
      </c>
      <c r="H8">
        <f>'Row Data'!P8</f>
        <v>106.6</v>
      </c>
      <c r="I8" s="3">
        <f t="shared" si="2"/>
        <v>2.8222013170271509E-3</v>
      </c>
      <c r="J8" t="str">
        <f t="shared" si="3"/>
        <v>Pre-COVID</v>
      </c>
    </row>
    <row r="9" spans="1:10" x14ac:dyDescent="0.35">
      <c r="A9" t="str">
        <f>'Row Data'!A9</f>
        <v>Urban</v>
      </c>
      <c r="B9">
        <f>'Row Data'!B9</f>
        <v>2013</v>
      </c>
      <c r="C9" t="str">
        <f>'Row Data'!C9</f>
        <v>March</v>
      </c>
      <c r="D9" s="2">
        <f>DATE(B9,MATCH(C9,{"January","February","March","April","May","June","July","August","September","October","November","December"},0),1)</f>
        <v>41334</v>
      </c>
      <c r="E9">
        <f>'Row Data'!AD9</f>
        <v>105</v>
      </c>
      <c r="F9" s="3" t="str">
        <f t="shared" si="0"/>
        <v/>
      </c>
      <c r="G9" s="3">
        <f t="shared" si="1"/>
        <v>2.8653295128939771E-3</v>
      </c>
      <c r="H9">
        <f>'Row Data'!P9</f>
        <v>107.3</v>
      </c>
      <c r="I9" s="3">
        <f t="shared" si="2"/>
        <v>9.3283582089553896E-4</v>
      </c>
      <c r="J9" t="str">
        <f t="shared" si="3"/>
        <v>Pre-COVID</v>
      </c>
    </row>
    <row r="10" spans="1:10" x14ac:dyDescent="0.35">
      <c r="A10" t="str">
        <f>'Row Data'!A10</f>
        <v>Rural+Urban</v>
      </c>
      <c r="B10">
        <f>'Row Data'!B10</f>
        <v>2013</v>
      </c>
      <c r="C10" t="str">
        <f>'Row Data'!C10</f>
        <v>March</v>
      </c>
      <c r="D10" s="2">
        <f>DATE(B10,MATCH(C10,{"January","February","March","April","May","June","July","August","September","October","November","December"},0),1)</f>
        <v>41334</v>
      </c>
      <c r="E10">
        <f>'Row Data'!AD10</f>
        <v>105.5</v>
      </c>
      <c r="F10" s="3" t="str">
        <f t="shared" si="0"/>
        <v/>
      </c>
      <c r="G10" s="3">
        <f t="shared" si="1"/>
        <v>1.8993352326686086E-3</v>
      </c>
      <c r="H10">
        <f>'Row Data'!P10</f>
        <v>106.9</v>
      </c>
      <c r="I10" s="3">
        <f t="shared" si="2"/>
        <v>2.8142589118200778E-3</v>
      </c>
      <c r="J10" t="str">
        <f t="shared" si="3"/>
        <v>Pre-COVID</v>
      </c>
    </row>
    <row r="11" spans="1:10" x14ac:dyDescent="0.35">
      <c r="A11" t="str">
        <f>'Row Data'!A11</f>
        <v>Rural</v>
      </c>
      <c r="B11">
        <f>'Row Data'!B11</f>
        <v>2013</v>
      </c>
      <c r="C11" t="str">
        <f>'Row Data'!C11</f>
        <v>April</v>
      </c>
      <c r="D11" s="2">
        <f>DATE(B11,MATCH(C11,{"January","February","March","April","May","June","July","August","September","October","November","December"},0),1)</f>
        <v>41365</v>
      </c>
      <c r="E11">
        <f>'Row Data'!AD11</f>
        <v>106.4</v>
      </c>
      <c r="F11" s="3" t="str">
        <f t="shared" si="0"/>
        <v/>
      </c>
      <c r="G11" s="3">
        <f t="shared" si="1"/>
        <v>3.7735849056603765E-3</v>
      </c>
      <c r="H11">
        <f>'Row Data'!P11</f>
        <v>107.1</v>
      </c>
      <c r="I11" s="3">
        <f t="shared" si="2"/>
        <v>4.6904315196998336E-3</v>
      </c>
      <c r="J11" t="str">
        <f t="shared" si="3"/>
        <v>Pre-COVID</v>
      </c>
    </row>
    <row r="12" spans="1:10" x14ac:dyDescent="0.35">
      <c r="A12" t="str">
        <f>'Row Data'!A12</f>
        <v>Urban</v>
      </c>
      <c r="B12">
        <f>'Row Data'!B12</f>
        <v>2013</v>
      </c>
      <c r="C12" t="str">
        <f>'Row Data'!C12</f>
        <v>April</v>
      </c>
      <c r="D12" s="2">
        <f>DATE(B12,MATCH(C12,{"January","February","March","April","May","June","July","August","September","October","November","December"},0),1)</f>
        <v>41365</v>
      </c>
      <c r="E12">
        <f>'Row Data'!AD12</f>
        <v>105.7</v>
      </c>
      <c r="F12" s="3" t="str">
        <f t="shared" si="0"/>
        <v/>
      </c>
      <c r="G12" s="3">
        <f t="shared" si="1"/>
        <v>6.6666666666665986E-3</v>
      </c>
      <c r="H12">
        <f>'Row Data'!P12</f>
        <v>108.8</v>
      </c>
      <c r="I12" s="3">
        <f t="shared" si="2"/>
        <v>1.3979496738117492E-2</v>
      </c>
      <c r="J12" t="str">
        <f t="shared" si="3"/>
        <v>Pre-COVID</v>
      </c>
    </row>
    <row r="13" spans="1:10" x14ac:dyDescent="0.35">
      <c r="A13" t="str">
        <f>'Row Data'!A13</f>
        <v>Rural+Urban</v>
      </c>
      <c r="B13">
        <f>'Row Data'!B13</f>
        <v>2013</v>
      </c>
      <c r="C13" t="str">
        <f>'Row Data'!C13</f>
        <v>April</v>
      </c>
      <c r="D13" s="2">
        <f>DATE(B13,MATCH(C13,{"January","February","March","April","May","June","July","August","September","October","November","December"},0),1)</f>
        <v>41365</v>
      </c>
      <c r="E13">
        <f>'Row Data'!AD13</f>
        <v>106.1</v>
      </c>
      <c r="F13" s="3" t="str">
        <f t="shared" si="0"/>
        <v/>
      </c>
      <c r="G13" s="3">
        <f t="shared" si="1"/>
        <v>5.687203791469031E-3</v>
      </c>
      <c r="H13">
        <f>'Row Data'!P13</f>
        <v>107.7</v>
      </c>
      <c r="I13" s="3">
        <f t="shared" si="2"/>
        <v>7.4836295603366576E-3</v>
      </c>
      <c r="J13" t="str">
        <f t="shared" si="3"/>
        <v>Pre-COVID</v>
      </c>
    </row>
    <row r="14" spans="1:10" x14ac:dyDescent="0.35">
      <c r="A14" t="str">
        <f>'Row Data'!A14</f>
        <v>Rural</v>
      </c>
      <c r="B14">
        <f>'Row Data'!B14</f>
        <v>2013</v>
      </c>
      <c r="C14" t="str">
        <f>'Row Data'!C14</f>
        <v>May</v>
      </c>
      <c r="D14" s="2">
        <f>DATE(B14,MATCH(C14,{"January","February","March","April","May","June","July","August","September","October","November","December"},0),1)</f>
        <v>41395</v>
      </c>
      <c r="E14">
        <f>'Row Data'!AD14</f>
        <v>107.2</v>
      </c>
      <c r="F14" s="3" t="str">
        <f t="shared" si="0"/>
        <v/>
      </c>
      <c r="G14" s="3">
        <f t="shared" si="1"/>
        <v>7.5187969924812581E-3</v>
      </c>
      <c r="H14">
        <f>'Row Data'!P14</f>
        <v>108.1</v>
      </c>
      <c r="I14" s="3">
        <f t="shared" si="2"/>
        <v>9.3370681605975392E-3</v>
      </c>
      <c r="J14" t="str">
        <f t="shared" si="3"/>
        <v>Pre-COVID</v>
      </c>
    </row>
    <row r="15" spans="1:10" x14ac:dyDescent="0.35">
      <c r="A15" t="str">
        <f>'Row Data'!A15</f>
        <v>Urban</v>
      </c>
      <c r="B15">
        <f>'Row Data'!B15</f>
        <v>2013</v>
      </c>
      <c r="C15" t="str">
        <f>'Row Data'!C15</f>
        <v>May</v>
      </c>
      <c r="D15" s="2">
        <f>DATE(B15,MATCH(C15,{"January","February","March","April","May","June","July","August","September","October","November","December"},0),1)</f>
        <v>41395</v>
      </c>
      <c r="E15">
        <f>'Row Data'!AD15</f>
        <v>106.6</v>
      </c>
      <c r="F15" s="3" t="str">
        <f t="shared" si="0"/>
        <v/>
      </c>
      <c r="G15" s="3">
        <f t="shared" si="1"/>
        <v>8.5146641438031967E-3</v>
      </c>
      <c r="H15">
        <f>'Row Data'!P15</f>
        <v>111.1</v>
      </c>
      <c r="I15" s="3">
        <f t="shared" si="2"/>
        <v>2.1139705882352811E-2</v>
      </c>
      <c r="J15" t="str">
        <f t="shared" si="3"/>
        <v>Pre-COVID</v>
      </c>
    </row>
    <row r="16" spans="1:10" x14ac:dyDescent="0.35">
      <c r="A16" t="str">
        <f>'Row Data'!A16</f>
        <v>Rural+Urban</v>
      </c>
      <c r="B16">
        <f>'Row Data'!B16</f>
        <v>2013</v>
      </c>
      <c r="C16" t="str">
        <f>'Row Data'!C16</f>
        <v>May</v>
      </c>
      <c r="D16" s="2">
        <f>DATE(B16,MATCH(C16,{"January","February","March","April","May","June","July","August","September","October","November","December"},0),1)</f>
        <v>41395</v>
      </c>
      <c r="E16">
        <f>'Row Data'!AD16</f>
        <v>106.9</v>
      </c>
      <c r="F16" s="3" t="str">
        <f t="shared" si="0"/>
        <v/>
      </c>
      <c r="G16" s="3">
        <f t="shared" si="1"/>
        <v>7.5400565504242234E-3</v>
      </c>
      <c r="H16">
        <f>'Row Data'!P16</f>
        <v>109.2</v>
      </c>
      <c r="I16" s="3">
        <f t="shared" si="2"/>
        <v>1.3927576601671321E-2</v>
      </c>
      <c r="J16" t="str">
        <f t="shared" si="3"/>
        <v>Pre-COVID</v>
      </c>
    </row>
    <row r="17" spans="1:10" x14ac:dyDescent="0.35">
      <c r="A17" t="str">
        <f>'Row Data'!A17</f>
        <v>Rural</v>
      </c>
      <c r="B17">
        <f>'Row Data'!B17</f>
        <v>2013</v>
      </c>
      <c r="C17" t="str">
        <f>'Row Data'!C17</f>
        <v>June</v>
      </c>
      <c r="D17" s="2">
        <f>DATE(B17,MATCH(C17,{"January","February","March","April","May","June","July","August","September","October","November","December"},0),1)</f>
        <v>41426</v>
      </c>
      <c r="E17">
        <f>'Row Data'!AD17</f>
        <v>108.9</v>
      </c>
      <c r="F17" s="3" t="str">
        <f t="shared" si="0"/>
        <v/>
      </c>
      <c r="G17" s="3">
        <f t="shared" si="1"/>
        <v>1.585820895522394E-2</v>
      </c>
      <c r="H17">
        <f>'Row Data'!P17</f>
        <v>110.6</v>
      </c>
      <c r="I17" s="3">
        <f t="shared" si="2"/>
        <v>2.3126734505087843E-2</v>
      </c>
      <c r="J17" t="str">
        <f t="shared" si="3"/>
        <v>Pre-COVID</v>
      </c>
    </row>
    <row r="18" spans="1:10" x14ac:dyDescent="0.35">
      <c r="A18" t="str">
        <f>'Row Data'!A18</f>
        <v>Urban</v>
      </c>
      <c r="B18">
        <f>'Row Data'!B18</f>
        <v>2013</v>
      </c>
      <c r="C18" t="str">
        <f>'Row Data'!C18</f>
        <v>June</v>
      </c>
      <c r="D18" s="2">
        <f>DATE(B18,MATCH(C18,{"January","February","March","April","May","June","July","August","September","October","November","December"},0),1)</f>
        <v>41426</v>
      </c>
      <c r="E18">
        <f>'Row Data'!AD18</f>
        <v>109.7</v>
      </c>
      <c r="F18" s="3" t="str">
        <f t="shared" si="0"/>
        <v/>
      </c>
      <c r="G18" s="3">
        <f t="shared" si="1"/>
        <v>2.908067542213888E-2</v>
      </c>
      <c r="H18">
        <f>'Row Data'!P18</f>
        <v>115</v>
      </c>
      <c r="I18" s="3">
        <f t="shared" si="2"/>
        <v>3.5103510351035094E-2</v>
      </c>
      <c r="J18" t="str">
        <f t="shared" si="3"/>
        <v>Pre-COVID</v>
      </c>
    </row>
    <row r="19" spans="1:10" x14ac:dyDescent="0.35">
      <c r="A19" t="str">
        <f>'Row Data'!A19</f>
        <v>Rural+Urban</v>
      </c>
      <c r="B19">
        <f>'Row Data'!B19</f>
        <v>2013</v>
      </c>
      <c r="C19" t="str">
        <f>'Row Data'!C19</f>
        <v>June</v>
      </c>
      <c r="D19" s="2">
        <f>DATE(B19,MATCH(C19,{"January","February","March","April","May","June","July","August","September","October","November","December"},0),1)</f>
        <v>41426</v>
      </c>
      <c r="E19">
        <f>'Row Data'!AD19</f>
        <v>109.3</v>
      </c>
      <c r="F19" s="3" t="str">
        <f t="shared" si="0"/>
        <v/>
      </c>
      <c r="G19" s="3">
        <f t="shared" si="1"/>
        <v>2.2450888681010195E-2</v>
      </c>
      <c r="H19">
        <f>'Row Data'!P19</f>
        <v>112.2</v>
      </c>
      <c r="I19" s="3">
        <f t="shared" si="2"/>
        <v>2.7472527472527375E-2</v>
      </c>
      <c r="J19" t="str">
        <f t="shared" si="3"/>
        <v>Pre-COVID</v>
      </c>
    </row>
    <row r="20" spans="1:10" x14ac:dyDescent="0.35">
      <c r="A20" t="str">
        <f>'Row Data'!A20</f>
        <v>Rural</v>
      </c>
      <c r="B20">
        <f>'Row Data'!B20</f>
        <v>2013</v>
      </c>
      <c r="C20" t="str">
        <f>'Row Data'!C20</f>
        <v>July</v>
      </c>
      <c r="D20" s="2">
        <f>DATE(B20,MATCH(C20,{"January","February","March","April","May","June","July","August","September","October","November","December"},0),1)</f>
        <v>41456</v>
      </c>
      <c r="E20">
        <f>'Row Data'!AD20</f>
        <v>110.7</v>
      </c>
      <c r="F20" s="3" t="str">
        <f t="shared" si="0"/>
        <v/>
      </c>
      <c r="G20" s="3">
        <f t="shared" si="1"/>
        <v>1.6528925619834656E-2</v>
      </c>
      <c r="H20">
        <f>'Row Data'!P20</f>
        <v>113.1</v>
      </c>
      <c r="I20" s="3">
        <f t="shared" si="2"/>
        <v>2.2603978300180794E-2</v>
      </c>
      <c r="J20" t="str">
        <f t="shared" si="3"/>
        <v>Pre-COVID</v>
      </c>
    </row>
    <row r="21" spans="1:10" x14ac:dyDescent="0.35">
      <c r="A21" t="str">
        <f>'Row Data'!A21</f>
        <v>Urban</v>
      </c>
      <c r="B21">
        <f>'Row Data'!B21</f>
        <v>2013</v>
      </c>
      <c r="C21" t="str">
        <f>'Row Data'!C21</f>
        <v>July</v>
      </c>
      <c r="D21" s="2">
        <f>DATE(B21,MATCH(C21,{"January","February","March","April","May","June","July","August","September","October","November","December"},0),1)</f>
        <v>41456</v>
      </c>
      <c r="E21">
        <f>'Row Data'!AD21</f>
        <v>111.4</v>
      </c>
      <c r="F21" s="3" t="str">
        <f t="shared" si="0"/>
        <v/>
      </c>
      <c r="G21" s="3">
        <f t="shared" si="1"/>
        <v>1.5496809480401108E-2</v>
      </c>
      <c r="H21">
        <f>'Row Data'!P21</f>
        <v>117.5</v>
      </c>
      <c r="I21" s="3">
        <f t="shared" si="2"/>
        <v>2.1739130434782705E-2</v>
      </c>
      <c r="J21" t="str">
        <f t="shared" si="3"/>
        <v>Pre-COVID</v>
      </c>
    </row>
    <row r="22" spans="1:10" x14ac:dyDescent="0.35">
      <c r="A22" t="str">
        <f>'Row Data'!A22</f>
        <v>Rural+Urban</v>
      </c>
      <c r="B22">
        <f>'Row Data'!B22</f>
        <v>2013</v>
      </c>
      <c r="C22" t="str">
        <f>'Row Data'!C22</f>
        <v>July</v>
      </c>
      <c r="D22" s="2">
        <f>DATE(B22,MATCH(C22,{"January","February","March","April","May","June","July","August","September","October","November","December"},0),1)</f>
        <v>41456</v>
      </c>
      <c r="E22">
        <f>'Row Data'!AD22</f>
        <v>111</v>
      </c>
      <c r="F22" s="3" t="str">
        <f t="shared" si="0"/>
        <v/>
      </c>
      <c r="G22" s="3">
        <f t="shared" si="1"/>
        <v>1.5553522415370669E-2</v>
      </c>
      <c r="H22">
        <f>'Row Data'!P22</f>
        <v>114.7</v>
      </c>
      <c r="I22" s="3">
        <f t="shared" si="2"/>
        <v>2.2281639928698693E-2</v>
      </c>
      <c r="J22" t="str">
        <f t="shared" si="3"/>
        <v>Pre-COVID</v>
      </c>
    </row>
    <row r="23" spans="1:10" x14ac:dyDescent="0.35">
      <c r="A23" t="str">
        <f>'Row Data'!A23</f>
        <v>Rural</v>
      </c>
      <c r="B23">
        <f>'Row Data'!B23</f>
        <v>2013</v>
      </c>
      <c r="C23" t="str">
        <f>'Row Data'!C23</f>
        <v>August</v>
      </c>
      <c r="D23" s="2">
        <f>DATE(B23,MATCH(C23,{"January","February","March","April","May","June","July","August","September","October","November","December"},0),1)</f>
        <v>41487</v>
      </c>
      <c r="E23">
        <f>'Row Data'!AD23</f>
        <v>112.1</v>
      </c>
      <c r="F23" s="3" t="str">
        <f t="shared" si="0"/>
        <v/>
      </c>
      <c r="G23" s="3">
        <f t="shared" si="1"/>
        <v>1.2646793134597933E-2</v>
      </c>
      <c r="H23">
        <f>'Row Data'!P23</f>
        <v>114.9</v>
      </c>
      <c r="I23" s="3">
        <f t="shared" si="2"/>
        <v>1.5915119363395291E-2</v>
      </c>
      <c r="J23" t="str">
        <f t="shared" si="3"/>
        <v>Pre-COVID</v>
      </c>
    </row>
    <row r="24" spans="1:10" x14ac:dyDescent="0.35">
      <c r="A24" t="str">
        <f>'Row Data'!A24</f>
        <v>Urban</v>
      </c>
      <c r="B24">
        <f>'Row Data'!B24</f>
        <v>2013</v>
      </c>
      <c r="C24" t="str">
        <f>'Row Data'!C24</f>
        <v>August</v>
      </c>
      <c r="D24" s="2">
        <f>DATE(B24,MATCH(C24,{"January","February","March","April","May","June","July","August","September","October","November","December"},0),1)</f>
        <v>41487</v>
      </c>
      <c r="E24">
        <f>'Row Data'!AD24</f>
        <v>112.7</v>
      </c>
      <c r="F24" s="3" t="str">
        <f t="shared" si="0"/>
        <v/>
      </c>
      <c r="G24" s="3">
        <f t="shared" si="1"/>
        <v>1.1669658886894085E-2</v>
      </c>
      <c r="H24">
        <f>'Row Data'!P24</f>
        <v>119.6</v>
      </c>
      <c r="I24" s="3">
        <f t="shared" si="2"/>
        <v>1.7872340425531874E-2</v>
      </c>
      <c r="J24" t="str">
        <f t="shared" si="3"/>
        <v>Pre-COVID</v>
      </c>
    </row>
    <row r="25" spans="1:10" x14ac:dyDescent="0.35">
      <c r="A25" t="str">
        <f>'Row Data'!A25</f>
        <v>Rural+Urban</v>
      </c>
      <c r="B25">
        <f>'Row Data'!B25</f>
        <v>2013</v>
      </c>
      <c r="C25" t="str">
        <f>'Row Data'!C25</f>
        <v>August</v>
      </c>
      <c r="D25" s="2">
        <f>DATE(B25,MATCH(C25,{"January","February","March","April","May","June","July","August","September","October","November","December"},0),1)</f>
        <v>41487</v>
      </c>
      <c r="E25">
        <f>'Row Data'!AD25</f>
        <v>112.4</v>
      </c>
      <c r="F25" s="3" t="str">
        <f t="shared" si="0"/>
        <v/>
      </c>
      <c r="G25" s="3">
        <f t="shared" si="1"/>
        <v>1.2612612612612706E-2</v>
      </c>
      <c r="H25">
        <f>'Row Data'!P25</f>
        <v>116.6</v>
      </c>
      <c r="I25" s="3">
        <f t="shared" si="2"/>
        <v>1.6564952048822912E-2</v>
      </c>
      <c r="J25" t="str">
        <f t="shared" si="3"/>
        <v>Pre-COVID</v>
      </c>
    </row>
    <row r="26" spans="1:10" x14ac:dyDescent="0.35">
      <c r="A26" t="str">
        <f>'Row Data'!A26</f>
        <v>Rural</v>
      </c>
      <c r="B26">
        <f>'Row Data'!B26</f>
        <v>2013</v>
      </c>
      <c r="C26" t="str">
        <f>'Row Data'!C26</f>
        <v>September</v>
      </c>
      <c r="D26" s="2">
        <f>DATE(B26,MATCH(C26,{"January","February","March","April","May","June","July","August","September","October","November","December"},0),1)</f>
        <v>41518</v>
      </c>
      <c r="E26">
        <f>'Row Data'!AD26</f>
        <v>114.2</v>
      </c>
      <c r="F26" s="3" t="str">
        <f t="shared" si="0"/>
        <v/>
      </c>
      <c r="G26" s="3">
        <f t="shared" si="1"/>
        <v>1.873327386262269E-2</v>
      </c>
      <c r="H26">
        <f>'Row Data'!P26</f>
        <v>117.8</v>
      </c>
      <c r="I26" s="3">
        <f t="shared" si="2"/>
        <v>2.5239338555265389E-2</v>
      </c>
      <c r="J26" t="str">
        <f t="shared" si="3"/>
        <v>Pre-COVID</v>
      </c>
    </row>
    <row r="27" spans="1:10" x14ac:dyDescent="0.35">
      <c r="A27" t="str">
        <f>'Row Data'!A27</f>
        <v>Urban</v>
      </c>
      <c r="B27">
        <f>'Row Data'!B27</f>
        <v>2013</v>
      </c>
      <c r="C27" t="str">
        <f>'Row Data'!C27</f>
        <v>September</v>
      </c>
      <c r="D27" s="2">
        <f>DATE(B27,MATCH(C27,{"January","February","March","April","May","June","July","August","September","October","November","December"},0),1)</f>
        <v>41518</v>
      </c>
      <c r="E27">
        <f>'Row Data'!AD27</f>
        <v>113.2</v>
      </c>
      <c r="F27" s="3" t="str">
        <f t="shared" si="0"/>
        <v/>
      </c>
      <c r="G27" s="3">
        <f t="shared" si="1"/>
        <v>4.4365572315883117E-3</v>
      </c>
      <c r="H27">
        <f>'Row Data'!P27</f>
        <v>119.2</v>
      </c>
      <c r="I27" s="3">
        <f t="shared" si="2"/>
        <v>-3.3444816053510573E-3</v>
      </c>
      <c r="J27" t="str">
        <f t="shared" si="3"/>
        <v>Pre-COVID</v>
      </c>
    </row>
    <row r="28" spans="1:10" x14ac:dyDescent="0.35">
      <c r="A28" t="str">
        <f>'Row Data'!A28</f>
        <v>Rural+Urban</v>
      </c>
      <c r="B28">
        <f>'Row Data'!B28</f>
        <v>2013</v>
      </c>
      <c r="C28" t="str">
        <f>'Row Data'!C28</f>
        <v>September</v>
      </c>
      <c r="D28" s="2">
        <f>DATE(B28,MATCH(C28,{"January","February","March","April","May","June","July","August","September","October","November","December"},0),1)</f>
        <v>41518</v>
      </c>
      <c r="E28">
        <f>'Row Data'!AD28</f>
        <v>113.7</v>
      </c>
      <c r="F28" s="3" t="str">
        <f t="shared" si="0"/>
        <v/>
      </c>
      <c r="G28" s="3">
        <f t="shared" si="1"/>
        <v>1.1565836298932375E-2</v>
      </c>
      <c r="H28">
        <f>'Row Data'!P28</f>
        <v>118.3</v>
      </c>
      <c r="I28" s="3">
        <f t="shared" si="2"/>
        <v>1.4579759862778818E-2</v>
      </c>
      <c r="J28" t="str">
        <f t="shared" si="3"/>
        <v>Pre-COVID</v>
      </c>
    </row>
    <row r="29" spans="1:10" x14ac:dyDescent="0.35">
      <c r="A29" t="str">
        <f>'Row Data'!A29</f>
        <v>Rural</v>
      </c>
      <c r="B29">
        <f>'Row Data'!B29</f>
        <v>2013</v>
      </c>
      <c r="C29" t="str">
        <f>'Row Data'!C29</f>
        <v>October</v>
      </c>
      <c r="D29" s="2">
        <f>DATE(B29,MATCH(C29,{"January","February","March","April","May","June","July","August","September","October","November","December"},0),1)</f>
        <v>41548</v>
      </c>
      <c r="E29">
        <f>'Row Data'!AD29</f>
        <v>115.5</v>
      </c>
      <c r="F29" s="3" t="str">
        <f t="shared" si="0"/>
        <v/>
      </c>
      <c r="G29" s="3">
        <f t="shared" si="1"/>
        <v>1.138353765323985E-2</v>
      </c>
      <c r="H29">
        <f>'Row Data'!P29</f>
        <v>119.8</v>
      </c>
      <c r="I29" s="3">
        <f t="shared" si="2"/>
        <v>1.6977928692699429E-2</v>
      </c>
      <c r="J29" t="str">
        <f t="shared" si="3"/>
        <v>Pre-COVID</v>
      </c>
    </row>
    <row r="30" spans="1:10" x14ac:dyDescent="0.35">
      <c r="A30" t="str">
        <f>'Row Data'!A30</f>
        <v>Urban</v>
      </c>
      <c r="B30">
        <f>'Row Data'!B30</f>
        <v>2013</v>
      </c>
      <c r="C30" t="str">
        <f>'Row Data'!C30</f>
        <v>October</v>
      </c>
      <c r="D30" s="2">
        <f>DATE(B30,MATCH(C30,{"January","February","March","April","May","June","July","August","September","October","November","December"},0),1)</f>
        <v>41548</v>
      </c>
      <c r="E30">
        <f>'Row Data'!AD30</f>
        <v>114</v>
      </c>
      <c r="F30" s="3" t="str">
        <f t="shared" si="0"/>
        <v/>
      </c>
      <c r="G30" s="3">
        <f t="shared" si="1"/>
        <v>7.0671378091873294E-3</v>
      </c>
      <c r="H30">
        <f>'Row Data'!P30</f>
        <v>120.8</v>
      </c>
      <c r="I30" s="3">
        <f t="shared" si="2"/>
        <v>1.3422818791946289E-2</v>
      </c>
      <c r="J30" t="str">
        <f t="shared" si="3"/>
        <v>Pre-COVID</v>
      </c>
    </row>
    <row r="31" spans="1:10" x14ac:dyDescent="0.35">
      <c r="A31" t="str">
        <f>'Row Data'!A31</f>
        <v>Rural+Urban</v>
      </c>
      <c r="B31">
        <f>'Row Data'!B31</f>
        <v>2013</v>
      </c>
      <c r="C31" t="str">
        <f>'Row Data'!C31</f>
        <v>October</v>
      </c>
      <c r="D31" s="2">
        <f>DATE(B31,MATCH(C31,{"January","February","March","April","May","June","July","August","September","October","November","December"},0),1)</f>
        <v>41548</v>
      </c>
      <c r="E31">
        <f>'Row Data'!AD31</f>
        <v>114.8</v>
      </c>
      <c r="F31" s="3" t="str">
        <f t="shared" si="0"/>
        <v/>
      </c>
      <c r="G31" s="3">
        <f t="shared" si="1"/>
        <v>9.674582233949014E-3</v>
      </c>
      <c r="H31">
        <f>'Row Data'!P31</f>
        <v>120.2</v>
      </c>
      <c r="I31" s="3">
        <f t="shared" si="2"/>
        <v>1.6060862214708482E-2</v>
      </c>
      <c r="J31" t="str">
        <f t="shared" si="3"/>
        <v>Pre-COVID</v>
      </c>
    </row>
    <row r="32" spans="1:10" x14ac:dyDescent="0.35">
      <c r="A32" t="str">
        <f>'Row Data'!A32</f>
        <v>Rural</v>
      </c>
      <c r="B32">
        <f>'Row Data'!B32</f>
        <v>2013</v>
      </c>
      <c r="C32" t="str">
        <f>'Row Data'!C32</f>
        <v xml:space="preserve">November </v>
      </c>
      <c r="D32" s="2" t="e">
        <f>DATE(B32,MATCH(C32,{"January","February","March","April","May","June","July","August","September","October","November","December"},0),1)</f>
        <v>#N/A</v>
      </c>
      <c r="E32">
        <f>'Row Data'!AD32</f>
        <v>117.4</v>
      </c>
      <c r="F32" s="3" t="str">
        <f t="shared" si="0"/>
        <v/>
      </c>
      <c r="G32" s="3">
        <f t="shared" si="1"/>
        <v>0</v>
      </c>
      <c r="H32">
        <f>'Row Data'!P32</f>
        <v>122.5</v>
      </c>
      <c r="I32" s="3">
        <f t="shared" si="2"/>
        <v>0</v>
      </c>
      <c r="J32" t="e">
        <f t="shared" si="3"/>
        <v>#N/A</v>
      </c>
    </row>
    <row r="33" spans="1:10" x14ac:dyDescent="0.35">
      <c r="A33" t="str">
        <f>'Row Data'!A33</f>
        <v>Urban</v>
      </c>
      <c r="B33">
        <f>'Row Data'!B33</f>
        <v>2013</v>
      </c>
      <c r="C33" t="str">
        <f>'Row Data'!C33</f>
        <v>November</v>
      </c>
      <c r="D33" s="2">
        <f>DATE(B33,MATCH(C33,{"January","February","March","April","May","June","July","August","September","October","November","December"},0),1)</f>
        <v>41579</v>
      </c>
      <c r="E33">
        <f>'Row Data'!AD33</f>
        <v>115</v>
      </c>
      <c r="F33" s="3" t="str">
        <f t="shared" si="0"/>
        <v/>
      </c>
      <c r="G33" s="3">
        <f t="shared" si="1"/>
        <v>8.7719298245614308E-3</v>
      </c>
      <c r="H33">
        <f>'Row Data'!P33</f>
        <v>122.9</v>
      </c>
      <c r="I33" s="3">
        <f t="shared" si="2"/>
        <v>1.7384105960265073E-2</v>
      </c>
      <c r="J33" t="str">
        <f t="shared" si="3"/>
        <v>Pre-COVID</v>
      </c>
    </row>
    <row r="34" spans="1:10" x14ac:dyDescent="0.35">
      <c r="A34" t="str">
        <f>'Row Data'!A34</f>
        <v>Rural+Urban</v>
      </c>
      <c r="B34">
        <f>'Row Data'!B34</f>
        <v>2013</v>
      </c>
      <c r="C34" t="str">
        <f>'Row Data'!C34</f>
        <v>November</v>
      </c>
      <c r="D34" s="2">
        <f>DATE(B34,MATCH(C34,{"January","February","March","April","May","June","July","August","September","October","November","December"},0),1)</f>
        <v>41579</v>
      </c>
      <c r="E34">
        <f>'Row Data'!AD34</f>
        <v>116.3</v>
      </c>
      <c r="F34" s="3" t="str">
        <f t="shared" si="0"/>
        <v/>
      </c>
      <c r="G34" s="3">
        <f t="shared" si="1"/>
        <v>1.3066202090592283E-2</v>
      </c>
      <c r="H34">
        <f>'Row Data'!P34</f>
        <v>122.6</v>
      </c>
      <c r="I34" s="3">
        <f t="shared" si="2"/>
        <v>1.9966722129783676E-2</v>
      </c>
      <c r="J34" t="str">
        <f t="shared" si="3"/>
        <v>Pre-COVID</v>
      </c>
    </row>
    <row r="35" spans="1:10" x14ac:dyDescent="0.35">
      <c r="A35" t="str">
        <f>'Row Data'!A35</f>
        <v>Rural</v>
      </c>
      <c r="B35">
        <f>'Row Data'!B35</f>
        <v>2013</v>
      </c>
      <c r="C35" t="str">
        <f>'Row Data'!C35</f>
        <v>December</v>
      </c>
      <c r="D35" s="2">
        <f>DATE(B35,MATCH(C35,{"January","February","March","April","May","June","July","August","September","October","November","December"},0),1)</f>
        <v>41609</v>
      </c>
      <c r="E35">
        <f>'Row Data'!AD35</f>
        <v>115.5</v>
      </c>
      <c r="F35" s="3" t="str">
        <f t="shared" si="0"/>
        <v/>
      </c>
      <c r="G35" s="3" t="str">
        <f t="shared" si="1"/>
        <v/>
      </c>
      <c r="H35">
        <f>'Row Data'!P35</f>
        <v>118.7</v>
      </c>
      <c r="I35" s="3" t="str">
        <f t="shared" si="2"/>
        <v/>
      </c>
      <c r="J35" t="str">
        <f t="shared" si="3"/>
        <v>Pre-COVID</v>
      </c>
    </row>
    <row r="36" spans="1:10" x14ac:dyDescent="0.35">
      <c r="A36" t="str">
        <f>'Row Data'!A36</f>
        <v>Urban</v>
      </c>
      <c r="B36">
        <f>'Row Data'!B36</f>
        <v>2013</v>
      </c>
      <c r="C36" t="str">
        <f>'Row Data'!C36</f>
        <v>December</v>
      </c>
      <c r="D36" s="2">
        <f>DATE(B36,MATCH(C36,{"January","February","March","April","May","June","July","August","September","October","November","December"},0),1)</f>
        <v>41609</v>
      </c>
      <c r="E36">
        <f>'Row Data'!AD36</f>
        <v>113.3</v>
      </c>
      <c r="F36" s="3" t="str">
        <f t="shared" si="0"/>
        <v/>
      </c>
      <c r="G36" s="3">
        <f t="shared" si="1"/>
        <v>-1.4782608695652177E-2</v>
      </c>
      <c r="H36">
        <f>'Row Data'!P36</f>
        <v>117.8</v>
      </c>
      <c r="I36" s="3">
        <f t="shared" si="2"/>
        <v>-4.1497152156224626E-2</v>
      </c>
      <c r="J36" t="str">
        <f t="shared" si="3"/>
        <v>Pre-COVID</v>
      </c>
    </row>
    <row r="37" spans="1:10" x14ac:dyDescent="0.35">
      <c r="A37" t="str">
        <f>'Row Data'!A37</f>
        <v>Rural+Urban</v>
      </c>
      <c r="B37">
        <f>'Row Data'!B37</f>
        <v>2013</v>
      </c>
      <c r="C37" t="str">
        <f>'Row Data'!C37</f>
        <v>December</v>
      </c>
      <c r="D37" s="2">
        <f>DATE(B37,MATCH(C37,{"January","February","March","April","May","June","July","August","September","October","November","December"},0),1)</f>
        <v>41609</v>
      </c>
      <c r="E37">
        <f>'Row Data'!AD37</f>
        <v>114.5</v>
      </c>
      <c r="F37" s="3" t="str">
        <f t="shared" si="0"/>
        <v/>
      </c>
      <c r="G37" s="3">
        <f t="shared" si="1"/>
        <v>-1.5477214101461745E-2</v>
      </c>
      <c r="H37">
        <f>'Row Data'!P37</f>
        <v>118.4</v>
      </c>
      <c r="I37" s="3">
        <f t="shared" si="2"/>
        <v>-3.4257748776508889E-2</v>
      </c>
      <c r="J37" t="str">
        <f t="shared" si="3"/>
        <v>Pre-COVID</v>
      </c>
    </row>
    <row r="38" spans="1:10" x14ac:dyDescent="0.35">
      <c r="A38" t="str">
        <f>'Row Data'!A38</f>
        <v>Rural</v>
      </c>
      <c r="B38">
        <f>'Row Data'!B38</f>
        <v>2014</v>
      </c>
      <c r="C38" t="str">
        <f>'Row Data'!C38</f>
        <v>January</v>
      </c>
      <c r="D38" s="2">
        <f>DATE(B38,MATCH(C38,{"January","February","March","April","May","June","July","August","September","October","November","December"},0),1)</f>
        <v>41640</v>
      </c>
      <c r="E38">
        <f>'Row Data'!AD38</f>
        <v>114.2</v>
      </c>
      <c r="F38" s="3">
        <f t="shared" si="0"/>
        <v>8.6584205518553947E-2</v>
      </c>
      <c r="G38" s="3">
        <f t="shared" si="1"/>
        <v>-1.1255411255411185E-2</v>
      </c>
      <c r="H38">
        <f>'Row Data'!P38</f>
        <v>116</v>
      </c>
      <c r="I38" s="3">
        <f t="shared" si="2"/>
        <v>-2.2746419545071617E-2</v>
      </c>
      <c r="J38" t="str">
        <f t="shared" si="3"/>
        <v>Pre-COVID</v>
      </c>
    </row>
    <row r="39" spans="1:10" x14ac:dyDescent="0.35">
      <c r="A39" t="str">
        <f>'Row Data'!A39</f>
        <v>Urban</v>
      </c>
      <c r="B39">
        <f>'Row Data'!B39</f>
        <v>2014</v>
      </c>
      <c r="C39" t="str">
        <f>'Row Data'!C39</f>
        <v>January</v>
      </c>
      <c r="D39" s="2">
        <f>DATE(B39,MATCH(C39,{"January","February","March","April","May","June","July","August","September","October","November","December"},0),1)</f>
        <v>41640</v>
      </c>
      <c r="E39">
        <f>'Row Data'!AD39</f>
        <v>112.9</v>
      </c>
      <c r="F39" s="3">
        <f t="shared" si="0"/>
        <v>8.5576923076923217E-2</v>
      </c>
      <c r="G39" s="3">
        <f t="shared" si="1"/>
        <v>-3.530450132391838E-3</v>
      </c>
      <c r="H39">
        <f>'Row Data'!P39</f>
        <v>115.5</v>
      </c>
      <c r="I39" s="3">
        <f t="shared" si="2"/>
        <v>-1.9524617996604432E-2</v>
      </c>
      <c r="J39" t="str">
        <f t="shared" si="3"/>
        <v>Pre-COVID</v>
      </c>
    </row>
    <row r="40" spans="1:10" x14ac:dyDescent="0.35">
      <c r="A40" t="str">
        <f>'Row Data'!A40</f>
        <v>Rural+Urban</v>
      </c>
      <c r="B40">
        <f>'Row Data'!B40</f>
        <v>2014</v>
      </c>
      <c r="C40" t="str">
        <f>'Row Data'!C40</f>
        <v>January</v>
      </c>
      <c r="D40" s="2">
        <f>DATE(B40,MATCH(C40,{"January","February","March","April","May","June","July","August","September","October","November","December"},0),1)</f>
        <v>41640</v>
      </c>
      <c r="E40">
        <f>'Row Data'!AD40</f>
        <v>113.6</v>
      </c>
      <c r="F40" s="3">
        <f t="shared" si="0"/>
        <v>8.6042065009560131E-2</v>
      </c>
      <c r="G40" s="3">
        <f t="shared" si="1"/>
        <v>-7.8602620087336872E-3</v>
      </c>
      <c r="H40">
        <f>'Row Data'!P40</f>
        <v>115.8</v>
      </c>
      <c r="I40" s="3">
        <f t="shared" si="2"/>
        <v>-2.195945945945954E-2</v>
      </c>
      <c r="J40" t="str">
        <f t="shared" si="3"/>
        <v>Pre-COVID</v>
      </c>
    </row>
    <row r="41" spans="1:10" x14ac:dyDescent="0.35">
      <c r="A41" t="str">
        <f>'Row Data'!A41</f>
        <v>Rural</v>
      </c>
      <c r="B41">
        <f>'Row Data'!B41</f>
        <v>2014</v>
      </c>
      <c r="C41" t="str">
        <f>'Row Data'!C41</f>
        <v>February</v>
      </c>
      <c r="D41" s="2">
        <f>DATE(B41,MATCH(C41,{"January","February","March","April","May","June","July","August","September","October","November","December"},0),1)</f>
        <v>41671</v>
      </c>
      <c r="E41">
        <f>'Row Data'!AD41</f>
        <v>114</v>
      </c>
      <c r="F41" s="3">
        <f t="shared" si="0"/>
        <v>7.7504725897920679E-2</v>
      </c>
      <c r="G41" s="3">
        <f t="shared" si="1"/>
        <v>-1.7513134851138146E-3</v>
      </c>
      <c r="H41">
        <f>'Row Data'!P41</f>
        <v>115.3</v>
      </c>
      <c r="I41" s="3">
        <f t="shared" si="2"/>
        <v>-6.0344827586207295E-3</v>
      </c>
      <c r="J41" t="str">
        <f t="shared" si="3"/>
        <v>Pre-COVID</v>
      </c>
    </row>
    <row r="42" spans="1:10" x14ac:dyDescent="0.35">
      <c r="A42" t="str">
        <f>'Row Data'!A42</f>
        <v>Urban</v>
      </c>
      <c r="B42">
        <f>'Row Data'!B42</f>
        <v>2014</v>
      </c>
      <c r="C42" t="str">
        <f>'Row Data'!C42</f>
        <v>February</v>
      </c>
      <c r="D42" s="2">
        <f>DATE(B42,MATCH(C42,{"January","February","March","April","May","June","July","August","September","October","November","December"},0),1)</f>
        <v>41671</v>
      </c>
      <c r="E42">
        <f>'Row Data'!AD42</f>
        <v>113.1</v>
      </c>
      <c r="F42" s="3">
        <f t="shared" si="0"/>
        <v>8.0229226361031358E-2</v>
      </c>
      <c r="G42" s="3">
        <f t="shared" si="1"/>
        <v>1.771479185119551E-3</v>
      </c>
      <c r="H42">
        <f>'Row Data'!P42</f>
        <v>115.2</v>
      </c>
      <c r="I42" s="3">
        <f t="shared" si="2"/>
        <v>-2.5974025974025983E-3</v>
      </c>
      <c r="J42" t="str">
        <f t="shared" si="3"/>
        <v>Pre-COVID</v>
      </c>
    </row>
    <row r="43" spans="1:10" x14ac:dyDescent="0.35">
      <c r="A43" t="str">
        <f>'Row Data'!A43</f>
        <v>Rural+Urban</v>
      </c>
      <c r="B43">
        <f>'Row Data'!B43</f>
        <v>2014</v>
      </c>
      <c r="C43" t="str">
        <f>'Row Data'!C43</f>
        <v>February</v>
      </c>
      <c r="D43" s="2">
        <f>DATE(B43,MATCH(C43,{"January","February","March","April","May","June","July","August","September","October","November","December"},0),1)</f>
        <v>41671</v>
      </c>
      <c r="E43">
        <f>'Row Data'!AD43</f>
        <v>113.6</v>
      </c>
      <c r="F43" s="3">
        <f t="shared" si="0"/>
        <v>7.882241215574548E-2</v>
      </c>
      <c r="G43" s="3">
        <f t="shared" si="1"/>
        <v>0</v>
      </c>
      <c r="H43">
        <f>'Row Data'!P43</f>
        <v>115.3</v>
      </c>
      <c r="I43" s="3">
        <f t="shared" si="2"/>
        <v>-4.3177892918825345E-3</v>
      </c>
      <c r="J43" t="str">
        <f t="shared" si="3"/>
        <v>Pre-COVID</v>
      </c>
    </row>
    <row r="44" spans="1:10" x14ac:dyDescent="0.35">
      <c r="A44" t="str">
        <f>'Row Data'!A44</f>
        <v>Rural</v>
      </c>
      <c r="B44">
        <f>'Row Data'!B44</f>
        <v>2014</v>
      </c>
      <c r="C44" t="str">
        <f>'Row Data'!C44</f>
        <v>March</v>
      </c>
      <c r="D44" s="2">
        <f>DATE(B44,MATCH(C44,{"January","February","March","April","May","June","July","August","September","October","November","December"},0),1)</f>
        <v>41699</v>
      </c>
      <c r="E44">
        <f>'Row Data'!AD44</f>
        <v>114.6</v>
      </c>
      <c r="F44" s="3">
        <f t="shared" si="0"/>
        <v>8.1132075471697984E-2</v>
      </c>
      <c r="G44" s="3">
        <f t="shared" si="1"/>
        <v>5.2631578947368585E-3</v>
      </c>
      <c r="H44">
        <f>'Row Data'!P44</f>
        <v>116.2</v>
      </c>
      <c r="I44" s="3">
        <f t="shared" si="2"/>
        <v>7.8057241977451675E-3</v>
      </c>
      <c r="J44" t="str">
        <f t="shared" si="3"/>
        <v>Pre-COVID</v>
      </c>
    </row>
    <row r="45" spans="1:10" x14ac:dyDescent="0.35">
      <c r="A45" t="str">
        <f>'Row Data'!A45</f>
        <v>Urban</v>
      </c>
      <c r="B45">
        <f>'Row Data'!B45</f>
        <v>2014</v>
      </c>
      <c r="C45" t="str">
        <f>'Row Data'!C45</f>
        <v>March</v>
      </c>
      <c r="D45" s="2">
        <f>DATE(B45,MATCH(C45,{"January","February","March","April","May","June","July","August","September","October","November","December"},0),1)</f>
        <v>41699</v>
      </c>
      <c r="E45">
        <f>'Row Data'!AD45</f>
        <v>113.7</v>
      </c>
      <c r="F45" s="3">
        <f t="shared" si="0"/>
        <v>8.2857142857142962E-2</v>
      </c>
      <c r="G45" s="3">
        <f t="shared" si="1"/>
        <v>5.3050397877985045E-3</v>
      </c>
      <c r="H45">
        <f>'Row Data'!P45</f>
        <v>116</v>
      </c>
      <c r="I45" s="3">
        <f t="shared" si="2"/>
        <v>6.9444444444444198E-3</v>
      </c>
      <c r="J45" t="str">
        <f t="shared" si="3"/>
        <v>Pre-COVID</v>
      </c>
    </row>
    <row r="46" spans="1:10" x14ac:dyDescent="0.35">
      <c r="A46" t="str">
        <f>'Row Data'!A46</f>
        <v>Rural+Urban</v>
      </c>
      <c r="B46">
        <f>'Row Data'!B46</f>
        <v>2014</v>
      </c>
      <c r="C46" t="str">
        <f>'Row Data'!C46</f>
        <v>Marcrh</v>
      </c>
      <c r="D46" s="2" t="e">
        <f>DATE(B46,MATCH(C46,{"January","February","March","April","May","June","July","August","September","October","November","December"},0),1)</f>
        <v>#N/A</v>
      </c>
      <c r="E46">
        <f>'Row Data'!AD46</f>
        <v>114.2</v>
      </c>
      <c r="F46" s="3" t="str">
        <f t="shared" si="0"/>
        <v/>
      </c>
      <c r="G46" s="3">
        <f t="shared" si="1"/>
        <v>0</v>
      </c>
      <c r="H46">
        <f>'Row Data'!P46</f>
        <v>116.1</v>
      </c>
      <c r="I46" s="3">
        <f t="shared" si="2"/>
        <v>0</v>
      </c>
      <c r="J46" t="e">
        <f t="shared" si="3"/>
        <v>#N/A</v>
      </c>
    </row>
    <row r="47" spans="1:10" x14ac:dyDescent="0.35">
      <c r="A47" t="str">
        <f>'Row Data'!A47</f>
        <v>Rural</v>
      </c>
      <c r="B47">
        <f>'Row Data'!B47</f>
        <v>2014</v>
      </c>
      <c r="C47" t="str">
        <f>'Row Data'!C47</f>
        <v>April</v>
      </c>
      <c r="D47" s="2">
        <f>DATE(B47,MATCH(C47,{"January","February","March","April","May","June","July","August","September","October","November","December"},0),1)</f>
        <v>41730</v>
      </c>
      <c r="E47">
        <f>'Row Data'!AD47</f>
        <v>115.4</v>
      </c>
      <c r="F47" s="3">
        <f t="shared" si="0"/>
        <v>8.4586466165413432E-2</v>
      </c>
      <c r="G47" s="3">
        <f t="shared" si="1"/>
        <v>6.9808027923212723E-3</v>
      </c>
      <c r="H47">
        <f>'Row Data'!P47</f>
        <v>117.2</v>
      </c>
      <c r="I47" s="3">
        <f t="shared" si="2"/>
        <v>8.6058519793459354E-3</v>
      </c>
      <c r="J47" t="str">
        <f t="shared" si="3"/>
        <v>Pre-COVID</v>
      </c>
    </row>
    <row r="48" spans="1:10" x14ac:dyDescent="0.35">
      <c r="A48" t="str">
        <f>'Row Data'!A48</f>
        <v>Urban</v>
      </c>
      <c r="B48">
        <f>'Row Data'!B48</f>
        <v>2014</v>
      </c>
      <c r="C48" t="str">
        <f>'Row Data'!C48</f>
        <v>April</v>
      </c>
      <c r="D48" s="2">
        <f>DATE(B48,MATCH(C48,{"January","February","March","April","May","June","July","August","September","October","November","December"},0),1)</f>
        <v>41730</v>
      </c>
      <c r="E48">
        <f>'Row Data'!AD48</f>
        <v>114.7</v>
      </c>
      <c r="F48" s="3">
        <f t="shared" si="0"/>
        <v>8.5146641438032189E-2</v>
      </c>
      <c r="G48" s="3">
        <f t="shared" si="1"/>
        <v>8.7950747581353461E-3</v>
      </c>
      <c r="H48">
        <f>'Row Data'!P48</f>
        <v>118.2</v>
      </c>
      <c r="I48" s="3">
        <f t="shared" si="2"/>
        <v>1.8965517241379404E-2</v>
      </c>
      <c r="J48" t="str">
        <f t="shared" si="3"/>
        <v>Pre-COVID</v>
      </c>
    </row>
    <row r="49" spans="1:10" x14ac:dyDescent="0.35">
      <c r="A49" t="str">
        <f>'Row Data'!A49</f>
        <v>Rural+Urban</v>
      </c>
      <c r="B49">
        <f>'Row Data'!B49</f>
        <v>2014</v>
      </c>
      <c r="C49" t="str">
        <f>'Row Data'!C49</f>
        <v>April</v>
      </c>
      <c r="D49" s="2">
        <f>DATE(B49,MATCH(C49,{"January","February","March","April","May","June","July","August","September","October","November","December"},0),1)</f>
        <v>41730</v>
      </c>
      <c r="E49">
        <f>'Row Data'!AD49</f>
        <v>115.1</v>
      </c>
      <c r="F49" s="3">
        <f t="shared" si="0"/>
        <v>8.4825636192271459E-2</v>
      </c>
      <c r="G49" s="3" t="str">
        <f t="shared" si="1"/>
        <v/>
      </c>
      <c r="H49">
        <f>'Row Data'!P49</f>
        <v>117.6</v>
      </c>
      <c r="I49" s="3" t="str">
        <f t="shared" si="2"/>
        <v/>
      </c>
      <c r="J49" t="str">
        <f t="shared" si="3"/>
        <v>Pre-COVID</v>
      </c>
    </row>
    <row r="50" spans="1:10" x14ac:dyDescent="0.35">
      <c r="A50" t="str">
        <f>'Row Data'!A50</f>
        <v>Rural</v>
      </c>
      <c r="B50">
        <f>'Row Data'!B50</f>
        <v>2014</v>
      </c>
      <c r="C50" t="str">
        <f>'Row Data'!C50</f>
        <v>May</v>
      </c>
      <c r="D50" s="2">
        <f>DATE(B50,MATCH(C50,{"January","February","March","April","May","June","July","August","September","October","November","December"},0),1)</f>
        <v>41760</v>
      </c>
      <c r="E50">
        <f>'Row Data'!AD50</f>
        <v>116</v>
      </c>
      <c r="F50" s="3">
        <f t="shared" si="0"/>
        <v>8.2089552238805874E-2</v>
      </c>
      <c r="G50" s="3">
        <f t="shared" si="1"/>
        <v>5.199306759098743E-3</v>
      </c>
      <c r="H50">
        <f>'Row Data'!P50</f>
        <v>118.2</v>
      </c>
      <c r="I50" s="3">
        <f t="shared" si="2"/>
        <v>8.5324232081911422E-3</v>
      </c>
      <c r="J50" t="str">
        <f t="shared" si="3"/>
        <v>Pre-COVID</v>
      </c>
    </row>
    <row r="51" spans="1:10" x14ac:dyDescent="0.35">
      <c r="A51" t="str">
        <f>'Row Data'!A51</f>
        <v>Urban</v>
      </c>
      <c r="B51">
        <f>'Row Data'!B51</f>
        <v>2014</v>
      </c>
      <c r="C51" t="str">
        <f>'Row Data'!C51</f>
        <v>May</v>
      </c>
      <c r="D51" s="2">
        <f>DATE(B51,MATCH(C51,{"January","February","March","April","May","June","July","August","September","October","November","December"},0),1)</f>
        <v>41760</v>
      </c>
      <c r="E51">
        <f>'Row Data'!AD51</f>
        <v>115.6</v>
      </c>
      <c r="F51" s="3">
        <f t="shared" si="0"/>
        <v>8.4427767354596561E-2</v>
      </c>
      <c r="G51" s="3">
        <f t="shared" si="1"/>
        <v>7.8465562336529349E-3</v>
      </c>
      <c r="H51">
        <f>'Row Data'!P51</f>
        <v>120</v>
      </c>
      <c r="I51" s="3">
        <f t="shared" si="2"/>
        <v>1.5228426395939021E-2</v>
      </c>
      <c r="J51" t="str">
        <f t="shared" si="3"/>
        <v>Pre-COVID</v>
      </c>
    </row>
    <row r="52" spans="1:10" x14ac:dyDescent="0.35">
      <c r="A52" t="str">
        <f>'Row Data'!A52</f>
        <v>Rural+Urban</v>
      </c>
      <c r="B52">
        <f>'Row Data'!B52</f>
        <v>2014</v>
      </c>
      <c r="C52" t="str">
        <f>'Row Data'!C52</f>
        <v>May</v>
      </c>
      <c r="D52" s="2">
        <f>DATE(B52,MATCH(C52,{"January","February","March","April","May","June","July","August","September","October","November","December"},0),1)</f>
        <v>41760</v>
      </c>
      <c r="E52">
        <f>'Row Data'!AD52</f>
        <v>115.8</v>
      </c>
      <c r="F52" s="3">
        <f t="shared" si="0"/>
        <v>8.3255378858746454E-2</v>
      </c>
      <c r="G52" s="3">
        <f t="shared" si="1"/>
        <v>6.0816681146829144E-3</v>
      </c>
      <c r="H52">
        <f>'Row Data'!P52</f>
        <v>118.9</v>
      </c>
      <c r="I52" s="3">
        <f t="shared" si="2"/>
        <v>1.1054421768707634E-2</v>
      </c>
      <c r="J52" t="str">
        <f t="shared" si="3"/>
        <v>Pre-COVID</v>
      </c>
    </row>
    <row r="53" spans="1:10" x14ac:dyDescent="0.35">
      <c r="A53" t="str">
        <f>'Row Data'!A53</f>
        <v>Rural</v>
      </c>
      <c r="B53">
        <f>'Row Data'!B53</f>
        <v>2014</v>
      </c>
      <c r="C53" t="str">
        <f>'Row Data'!C53</f>
        <v>June</v>
      </c>
      <c r="D53" s="2">
        <f>DATE(B53,MATCH(C53,{"January","February","March","April","May","June","July","August","September","October","November","December"},0),1)</f>
        <v>41791</v>
      </c>
      <c r="E53">
        <f>'Row Data'!AD53</f>
        <v>117</v>
      </c>
      <c r="F53" s="3">
        <f t="shared" si="0"/>
        <v>7.4380165289256173E-2</v>
      </c>
      <c r="G53" s="3">
        <f t="shared" si="1"/>
        <v>8.6206896551723755E-3</v>
      </c>
      <c r="H53">
        <f>'Row Data'!P53</f>
        <v>119.5</v>
      </c>
      <c r="I53" s="3">
        <f t="shared" si="2"/>
        <v>1.0998307952622577E-2</v>
      </c>
      <c r="J53" t="str">
        <f t="shared" si="3"/>
        <v>Pre-COVID</v>
      </c>
    </row>
    <row r="54" spans="1:10" x14ac:dyDescent="0.35">
      <c r="A54" t="str">
        <f>'Row Data'!A54</f>
        <v>Urban</v>
      </c>
      <c r="B54">
        <f>'Row Data'!B54</f>
        <v>2014</v>
      </c>
      <c r="C54" t="str">
        <f>'Row Data'!C54</f>
        <v>June</v>
      </c>
      <c r="D54" s="2">
        <f>DATE(B54,MATCH(C54,{"January","February","March","April","May","June","July","August","September","October","November","December"},0),1)</f>
        <v>41791</v>
      </c>
      <c r="E54">
        <f>'Row Data'!AD54</f>
        <v>116.4</v>
      </c>
      <c r="F54" s="3">
        <f t="shared" si="0"/>
        <v>6.1075660893345596E-2</v>
      </c>
      <c r="G54" s="3">
        <f t="shared" si="1"/>
        <v>6.9204152249136008E-3</v>
      </c>
      <c r="H54">
        <f>'Row Data'!P54</f>
        <v>122</v>
      </c>
      <c r="I54" s="3">
        <f t="shared" si="2"/>
        <v>1.6666666666666607E-2</v>
      </c>
      <c r="J54" t="str">
        <f t="shared" si="3"/>
        <v>Pre-COVID</v>
      </c>
    </row>
    <row r="55" spans="1:10" x14ac:dyDescent="0.35">
      <c r="A55" t="str">
        <f>'Row Data'!A55</f>
        <v>Rural+Urban</v>
      </c>
      <c r="B55">
        <f>'Row Data'!B55</f>
        <v>2014</v>
      </c>
      <c r="C55" t="str">
        <f>'Row Data'!C55</f>
        <v>June</v>
      </c>
      <c r="D55" s="2">
        <f>DATE(B55,MATCH(C55,{"January","February","March","April","May","June","July","August","September","October","November","December"},0),1)</f>
        <v>41791</v>
      </c>
      <c r="E55">
        <f>'Row Data'!AD55</f>
        <v>116.7</v>
      </c>
      <c r="F55" s="3">
        <f t="shared" si="0"/>
        <v>6.7703568161024741E-2</v>
      </c>
      <c r="G55" s="3">
        <f t="shared" si="1"/>
        <v>7.7720207253886286E-3</v>
      </c>
      <c r="H55">
        <f>'Row Data'!P55</f>
        <v>120.4</v>
      </c>
      <c r="I55" s="3">
        <f t="shared" si="2"/>
        <v>1.2615643397813292E-2</v>
      </c>
      <c r="J55" t="str">
        <f t="shared" si="3"/>
        <v>Pre-COVID</v>
      </c>
    </row>
    <row r="56" spans="1:10" x14ac:dyDescent="0.35">
      <c r="A56" t="str">
        <f>'Row Data'!A56</f>
        <v>Rural</v>
      </c>
      <c r="B56">
        <f>'Row Data'!B56</f>
        <v>2014</v>
      </c>
      <c r="C56" t="str">
        <f>'Row Data'!C56</f>
        <v>July</v>
      </c>
      <c r="D56" s="2">
        <f>DATE(B56,MATCH(C56,{"January","February","March","April","May","June","July","August","September","October","November","December"},0),1)</f>
        <v>41821</v>
      </c>
      <c r="E56">
        <f>'Row Data'!AD56</f>
        <v>119.5</v>
      </c>
      <c r="F56" s="3">
        <f t="shared" si="0"/>
        <v>7.9494128274615994E-2</v>
      </c>
      <c r="G56" s="3">
        <f t="shared" si="1"/>
        <v>2.1367521367521292E-2</v>
      </c>
      <c r="H56">
        <f>'Row Data'!P56</f>
        <v>123.3</v>
      </c>
      <c r="I56" s="3">
        <f t="shared" si="2"/>
        <v>3.1799163179916379E-2</v>
      </c>
      <c r="J56" t="str">
        <f t="shared" si="3"/>
        <v>Pre-COVID</v>
      </c>
    </row>
    <row r="57" spans="1:10" x14ac:dyDescent="0.35">
      <c r="A57" t="str">
        <f>'Row Data'!A57</f>
        <v>Urban</v>
      </c>
      <c r="B57">
        <f>'Row Data'!B57</f>
        <v>2014</v>
      </c>
      <c r="C57" t="str">
        <f>'Row Data'!C57</f>
        <v>July</v>
      </c>
      <c r="D57" s="2">
        <f>DATE(B57,MATCH(C57,{"January","February","March","April","May","June","July","August","September","October","November","December"},0),1)</f>
        <v>41821</v>
      </c>
      <c r="E57">
        <f>'Row Data'!AD57</f>
        <v>118.9</v>
      </c>
      <c r="F57" s="3">
        <f t="shared" si="0"/>
        <v>6.7324955116696561E-2</v>
      </c>
      <c r="G57" s="3">
        <f t="shared" si="1"/>
        <v>2.1477663230240474E-2</v>
      </c>
      <c r="H57">
        <f>'Row Data'!P57</f>
        <v>127.1</v>
      </c>
      <c r="I57" s="3">
        <f t="shared" si="2"/>
        <v>4.1803278688524514E-2</v>
      </c>
      <c r="J57" t="str">
        <f t="shared" si="3"/>
        <v>Pre-COVID</v>
      </c>
    </row>
    <row r="58" spans="1:10" x14ac:dyDescent="0.35">
      <c r="A58" t="str">
        <f>'Row Data'!A58</f>
        <v>Rural+Urban</v>
      </c>
      <c r="B58">
        <f>'Row Data'!B58</f>
        <v>2014</v>
      </c>
      <c r="C58" t="str">
        <f>'Row Data'!C58</f>
        <v>July</v>
      </c>
      <c r="D58" s="2">
        <f>DATE(B58,MATCH(C58,{"January","February","March","April","May","June","July","August","September","October","November","December"},0),1)</f>
        <v>41821</v>
      </c>
      <c r="E58">
        <f>'Row Data'!AD58</f>
        <v>119.2</v>
      </c>
      <c r="F58" s="3">
        <f t="shared" si="0"/>
        <v>7.3873873873874008E-2</v>
      </c>
      <c r="G58" s="3">
        <f t="shared" si="1"/>
        <v>2.1422450728363351E-2</v>
      </c>
      <c r="H58">
        <f>'Row Data'!P58</f>
        <v>124.7</v>
      </c>
      <c r="I58" s="3">
        <f t="shared" si="2"/>
        <v>3.5714285714285587E-2</v>
      </c>
      <c r="J58" t="str">
        <f t="shared" si="3"/>
        <v>Pre-COVID</v>
      </c>
    </row>
    <row r="59" spans="1:10" x14ac:dyDescent="0.35">
      <c r="A59" t="str">
        <f>'Row Data'!A59</f>
        <v>Rural</v>
      </c>
      <c r="B59">
        <f>'Row Data'!B59</f>
        <v>2014</v>
      </c>
      <c r="C59" t="str">
        <f>'Row Data'!C59</f>
        <v>August</v>
      </c>
      <c r="D59" s="2">
        <f>DATE(B59,MATCH(C59,{"January","February","March","April","May","June","July","August","September","October","November","December"},0),1)</f>
        <v>41852</v>
      </c>
      <c r="E59">
        <f>'Row Data'!AD59</f>
        <v>120.7</v>
      </c>
      <c r="F59" s="3">
        <f t="shared" si="0"/>
        <v>7.6717216770740393E-2</v>
      </c>
      <c r="G59" s="3">
        <f t="shared" si="1"/>
        <v>1.0041841004184038E-2</v>
      </c>
      <c r="H59">
        <f>'Row Data'!P59</f>
        <v>125.3</v>
      </c>
      <c r="I59" s="3">
        <f t="shared" si="2"/>
        <v>1.6220600162206056E-2</v>
      </c>
      <c r="J59" t="str">
        <f t="shared" si="3"/>
        <v>Pre-COVID</v>
      </c>
    </row>
    <row r="60" spans="1:10" x14ac:dyDescent="0.35">
      <c r="A60" t="str">
        <f>'Row Data'!A60</f>
        <v>Urban</v>
      </c>
      <c r="B60">
        <f>'Row Data'!B60</f>
        <v>2014</v>
      </c>
      <c r="C60" t="str">
        <f>'Row Data'!C60</f>
        <v>August</v>
      </c>
      <c r="D60" s="2">
        <f>DATE(B60,MATCH(C60,{"January","February","March","April","May","June","July","August","September","October","November","December"},0),1)</f>
        <v>41852</v>
      </c>
      <c r="E60">
        <f>'Row Data'!AD60</f>
        <v>119.9</v>
      </c>
      <c r="F60" s="3">
        <f t="shared" si="0"/>
        <v>6.3886424134871334E-2</v>
      </c>
      <c r="G60" s="3">
        <f t="shared" si="1"/>
        <v>8.410428931875602E-3</v>
      </c>
      <c r="H60">
        <f>'Row Data'!P60</f>
        <v>128.9</v>
      </c>
      <c r="I60" s="3">
        <f t="shared" si="2"/>
        <v>1.4162077104642012E-2</v>
      </c>
      <c r="J60" t="str">
        <f t="shared" si="3"/>
        <v>Pre-COVID</v>
      </c>
    </row>
    <row r="61" spans="1:10" x14ac:dyDescent="0.35">
      <c r="A61" t="str">
        <f>'Row Data'!A61</f>
        <v>Rural+Urban</v>
      </c>
      <c r="B61">
        <f>'Row Data'!B61</f>
        <v>2014</v>
      </c>
      <c r="C61" t="str">
        <f>'Row Data'!C61</f>
        <v>August</v>
      </c>
      <c r="D61" s="2">
        <f>DATE(B61,MATCH(C61,{"January","February","March","April","May","June","July","August","September","October","November","December"},0),1)</f>
        <v>41852</v>
      </c>
      <c r="E61">
        <f>'Row Data'!AD61</f>
        <v>120.3</v>
      </c>
      <c r="F61" s="3">
        <f t="shared" si="0"/>
        <v>7.0284697508896654E-2</v>
      </c>
      <c r="G61" s="3">
        <f t="shared" si="1"/>
        <v>9.2281879194631156E-3</v>
      </c>
      <c r="H61">
        <f>'Row Data'!P61</f>
        <v>126.6</v>
      </c>
      <c r="I61" s="3">
        <f t="shared" si="2"/>
        <v>1.5236567762630271E-2</v>
      </c>
      <c r="J61" t="str">
        <f t="shared" si="3"/>
        <v>Pre-COVID</v>
      </c>
    </row>
    <row r="62" spans="1:10" x14ac:dyDescent="0.35">
      <c r="A62" t="str">
        <f>'Row Data'!A62</f>
        <v>Rural</v>
      </c>
      <c r="B62">
        <f>'Row Data'!B62</f>
        <v>2014</v>
      </c>
      <c r="C62" t="str">
        <f>'Row Data'!C62</f>
        <v>September</v>
      </c>
      <c r="D62" s="2">
        <f>DATE(B62,MATCH(C62,{"January","February","March","April","May","June","July","August","September","October","November","December"},0),1)</f>
        <v>41883</v>
      </c>
      <c r="E62">
        <f>'Row Data'!AD62</f>
        <v>120.9</v>
      </c>
      <c r="F62" s="3">
        <f t="shared" si="0"/>
        <v>5.8669001751313399E-2</v>
      </c>
      <c r="G62" s="3">
        <f t="shared" si="1"/>
        <v>1.657000828500399E-3</v>
      </c>
      <c r="H62">
        <f>'Row Data'!P62</f>
        <v>125.3</v>
      </c>
      <c r="I62" s="3">
        <f t="shared" si="2"/>
        <v>0</v>
      </c>
      <c r="J62" t="str">
        <f t="shared" si="3"/>
        <v>Pre-COVID</v>
      </c>
    </row>
    <row r="63" spans="1:10" x14ac:dyDescent="0.35">
      <c r="A63" t="str">
        <f>'Row Data'!A63</f>
        <v>Urban</v>
      </c>
      <c r="B63">
        <f>'Row Data'!B63</f>
        <v>2014</v>
      </c>
      <c r="C63" t="str">
        <f>'Row Data'!C63</f>
        <v>September</v>
      </c>
      <c r="D63" s="2">
        <f>DATE(B63,MATCH(C63,{"January","February","March","April","May","June","July","August","September","October","November","December"},0),1)</f>
        <v>41883</v>
      </c>
      <c r="E63">
        <f>'Row Data'!AD63</f>
        <v>119.2</v>
      </c>
      <c r="F63" s="3">
        <f t="shared" si="0"/>
        <v>5.3003533568904526E-2</v>
      </c>
      <c r="G63" s="3">
        <f t="shared" si="1"/>
        <v>-5.8381984987490032E-3</v>
      </c>
      <c r="H63">
        <f>'Row Data'!P63</f>
        <v>126.7</v>
      </c>
      <c r="I63" s="3">
        <f t="shared" si="2"/>
        <v>-1.706749418153608E-2</v>
      </c>
      <c r="J63" t="str">
        <f t="shared" si="3"/>
        <v>Pre-COVID</v>
      </c>
    </row>
    <row r="64" spans="1:10" x14ac:dyDescent="0.35">
      <c r="A64" t="str">
        <f>'Row Data'!A64</f>
        <v>Rural+Urban</v>
      </c>
      <c r="B64">
        <f>'Row Data'!B64</f>
        <v>2014</v>
      </c>
      <c r="C64" t="str">
        <f>'Row Data'!C64</f>
        <v>September</v>
      </c>
      <c r="D64" s="2">
        <f>DATE(B64,MATCH(C64,{"January","February","March","April","May","June","July","August","September","October","November","December"},0),1)</f>
        <v>41883</v>
      </c>
      <c r="E64">
        <f>'Row Data'!AD64</f>
        <v>120.1</v>
      </c>
      <c r="F64" s="3">
        <f t="shared" si="0"/>
        <v>5.6288478452066748E-2</v>
      </c>
      <c r="G64" s="3">
        <f t="shared" si="1"/>
        <v>-1.6625103906899863E-3</v>
      </c>
      <c r="H64">
        <f>'Row Data'!P64</f>
        <v>125.8</v>
      </c>
      <c r="I64" s="3">
        <f t="shared" si="2"/>
        <v>-6.3191153238546516E-3</v>
      </c>
      <c r="J64" t="str">
        <f t="shared" si="3"/>
        <v>Pre-COVID</v>
      </c>
    </row>
    <row r="65" spans="1:10" x14ac:dyDescent="0.35">
      <c r="A65" t="str">
        <f>'Row Data'!A65</f>
        <v>Rural</v>
      </c>
      <c r="B65">
        <f>'Row Data'!B65</f>
        <v>2014</v>
      </c>
      <c r="C65" t="str">
        <f>'Row Data'!C65</f>
        <v>October</v>
      </c>
      <c r="D65" s="2">
        <f>DATE(B65,MATCH(C65,{"January","February","March","April","May","June","July","August","September","October","November","December"},0),1)</f>
        <v>41913</v>
      </c>
      <c r="E65">
        <f>'Row Data'!AD65</f>
        <v>121</v>
      </c>
      <c r="F65" s="3">
        <f t="shared" si="0"/>
        <v>4.7619047619047672E-2</v>
      </c>
      <c r="G65" s="3">
        <f t="shared" si="1"/>
        <v>8.2712985938782069E-4</v>
      </c>
      <c r="H65">
        <f>'Row Data'!P65</f>
        <v>125.1</v>
      </c>
      <c r="I65" s="3">
        <f t="shared" si="2"/>
        <v>-1.5961691939345712E-3</v>
      </c>
      <c r="J65" t="str">
        <f t="shared" si="3"/>
        <v>Pre-COVID</v>
      </c>
    </row>
    <row r="66" spans="1:10" x14ac:dyDescent="0.35">
      <c r="A66" t="str">
        <f>'Row Data'!A66</f>
        <v>Urban</v>
      </c>
      <c r="B66">
        <f>'Row Data'!B66</f>
        <v>2014</v>
      </c>
      <c r="C66" t="str">
        <f>'Row Data'!C66</f>
        <v>October</v>
      </c>
      <c r="D66" s="2">
        <f>DATE(B66,MATCH(C66,{"January","February","March","April","May","June","July","August","September","October","November","December"},0),1)</f>
        <v>41913</v>
      </c>
      <c r="E66">
        <f>'Row Data'!AD66</f>
        <v>119.1</v>
      </c>
      <c r="F66" s="3">
        <f t="shared" ref="F66:F129" si="4">IFERROR(E66/SUMIFS($E:$E,$A:$A,A66,$B:$B,B66-1,$C:$C,C66)-1,"")</f>
        <v>4.4736842105263186E-2</v>
      </c>
      <c r="G66" s="3">
        <f t="shared" ref="G66:G129" si="5">IFERROR(E66/SUMIFS($E:$E,$A:$A,A66,$D:$D,EDATE(D66,-1))-1,"")</f>
        <v>-8.3892617449676798E-4</v>
      </c>
      <c r="H66">
        <f>'Row Data'!P66</f>
        <v>125.8</v>
      </c>
      <c r="I66" s="3">
        <f t="shared" ref="I66:I129" si="6">IFERROR(H66/SUMIFS($H:$H,$A:$A,A66,$D:$D,EDATE(D66,-1))-1,"")</f>
        <v>-7.1033938437253807E-3</v>
      </c>
      <c r="J66" t="str">
        <f t="shared" ref="J66:J129" si="7">IF(D66&lt;DATE(2020,3,1),"Pre-COVID",IF(D66=DATE(2020,3,1),"COVID Onset / Mar-20",IF(D66&lt;=DATE(2021,12,31),"COVID Period","Post-COVID")))</f>
        <v>Pre-COVID</v>
      </c>
    </row>
    <row r="67" spans="1:10" x14ac:dyDescent="0.35">
      <c r="A67" t="str">
        <f>'Row Data'!A67</f>
        <v>Rural+Urban</v>
      </c>
      <c r="B67">
        <f>'Row Data'!B67</f>
        <v>2014</v>
      </c>
      <c r="C67" t="str">
        <f>'Row Data'!C67</f>
        <v>October</v>
      </c>
      <c r="D67" s="2">
        <f>DATE(B67,MATCH(C67,{"January","February","March","April","May","June","July","August","September","October","November","December"},0),1)</f>
        <v>41913</v>
      </c>
      <c r="E67">
        <f>'Row Data'!AD67</f>
        <v>120.1</v>
      </c>
      <c r="F67" s="3">
        <f t="shared" si="4"/>
        <v>4.6167247386759591E-2</v>
      </c>
      <c r="G67" s="3">
        <f t="shared" si="5"/>
        <v>0</v>
      </c>
      <c r="H67">
        <f>'Row Data'!P67</f>
        <v>125.4</v>
      </c>
      <c r="I67" s="3">
        <f t="shared" si="6"/>
        <v>-3.1796502384736636E-3</v>
      </c>
      <c r="J67" t="str">
        <f t="shared" si="7"/>
        <v>Pre-COVID</v>
      </c>
    </row>
    <row r="68" spans="1:10" x14ac:dyDescent="0.35">
      <c r="A68" t="str">
        <f>'Row Data'!A68</f>
        <v>Rural</v>
      </c>
      <c r="B68">
        <f>'Row Data'!B68</f>
        <v>2014</v>
      </c>
      <c r="C68" t="str">
        <f>'Row Data'!C68</f>
        <v>November</v>
      </c>
      <c r="D68" s="2">
        <f>DATE(B68,MATCH(C68,{"January","February","March","April","May","June","July","August","September","October","November","December"},0),1)</f>
        <v>41944</v>
      </c>
      <c r="E68">
        <f>'Row Data'!AD68</f>
        <v>121.1</v>
      </c>
      <c r="F68" s="3" t="str">
        <f t="shared" si="4"/>
        <v/>
      </c>
      <c r="G68" s="3">
        <f t="shared" si="5"/>
        <v>8.2644628099171058E-4</v>
      </c>
      <c r="H68">
        <f>'Row Data'!P68</f>
        <v>124.9</v>
      </c>
      <c r="I68" s="3">
        <f t="shared" si="6"/>
        <v>-1.5987210231813709E-3</v>
      </c>
      <c r="J68" t="str">
        <f t="shared" si="7"/>
        <v>Pre-COVID</v>
      </c>
    </row>
    <row r="69" spans="1:10" x14ac:dyDescent="0.35">
      <c r="A69" t="str">
        <f>'Row Data'!A69</f>
        <v>Urban</v>
      </c>
      <c r="B69">
        <f>'Row Data'!B69</f>
        <v>2014</v>
      </c>
      <c r="C69" t="str">
        <f>'Row Data'!C69</f>
        <v>November</v>
      </c>
      <c r="D69" s="2">
        <f>DATE(B69,MATCH(C69,{"January","February","March","April","May","June","July","August","September","October","November","December"},0),1)</f>
        <v>41944</v>
      </c>
      <c r="E69">
        <f>'Row Data'!AD69</f>
        <v>119</v>
      </c>
      <c r="F69" s="3">
        <f t="shared" si="4"/>
        <v>3.4782608695652195E-2</v>
      </c>
      <c r="G69" s="3">
        <f t="shared" si="5"/>
        <v>-8.3963056255242918E-4</v>
      </c>
      <c r="H69">
        <f>'Row Data'!P69</f>
        <v>125.4</v>
      </c>
      <c r="I69" s="3">
        <f t="shared" si="6"/>
        <v>-3.1796502384736636E-3</v>
      </c>
      <c r="J69" t="str">
        <f t="shared" si="7"/>
        <v>Pre-COVID</v>
      </c>
    </row>
    <row r="70" spans="1:10" x14ac:dyDescent="0.35">
      <c r="A70" t="str">
        <f>'Row Data'!A70</f>
        <v>Rural+Urban</v>
      </c>
      <c r="B70">
        <f>'Row Data'!B70</f>
        <v>2014</v>
      </c>
      <c r="C70" t="str">
        <f>'Row Data'!C70</f>
        <v>November</v>
      </c>
      <c r="D70" s="2">
        <f>DATE(B70,MATCH(C70,{"January","February","March","April","May","June","July","August","September","October","November","December"},0),1)</f>
        <v>41944</v>
      </c>
      <c r="E70">
        <f>'Row Data'!AD70</f>
        <v>120.1</v>
      </c>
      <c r="F70" s="3">
        <f t="shared" si="4"/>
        <v>3.2674118658641449E-2</v>
      </c>
      <c r="G70" s="3">
        <f t="shared" si="5"/>
        <v>0</v>
      </c>
      <c r="H70">
        <f>'Row Data'!P70</f>
        <v>125.1</v>
      </c>
      <c r="I70" s="3">
        <f t="shared" si="6"/>
        <v>-2.3923444976077235E-3</v>
      </c>
      <c r="J70" t="str">
        <f t="shared" si="7"/>
        <v>Pre-COVID</v>
      </c>
    </row>
    <row r="71" spans="1:10" x14ac:dyDescent="0.35">
      <c r="A71" t="str">
        <f>'Row Data'!A71</f>
        <v>Rural</v>
      </c>
      <c r="B71">
        <f>'Row Data'!B71</f>
        <v>2014</v>
      </c>
      <c r="C71" t="str">
        <f>'Row Data'!C71</f>
        <v>December</v>
      </c>
      <c r="D71" s="2">
        <f>DATE(B71,MATCH(C71,{"January","February","March","April","May","June","July","August","September","October","November","December"},0),1)</f>
        <v>41974</v>
      </c>
      <c r="E71">
        <f>'Row Data'!AD71</f>
        <v>120.3</v>
      </c>
      <c r="F71" s="3">
        <f t="shared" si="4"/>
        <v>4.1558441558441572E-2</v>
      </c>
      <c r="G71" s="3">
        <f t="shared" si="5"/>
        <v>-6.6061106523533919E-3</v>
      </c>
      <c r="H71">
        <f>'Row Data'!P71</f>
        <v>123.3</v>
      </c>
      <c r="I71" s="3">
        <f t="shared" si="6"/>
        <v>-1.2810248198558916E-2</v>
      </c>
      <c r="J71" t="str">
        <f t="shared" si="7"/>
        <v>Pre-COVID</v>
      </c>
    </row>
    <row r="72" spans="1:10" x14ac:dyDescent="0.35">
      <c r="A72" t="str">
        <f>'Row Data'!A72</f>
        <v>Urban</v>
      </c>
      <c r="B72">
        <f>'Row Data'!B72</f>
        <v>2014</v>
      </c>
      <c r="C72" t="str">
        <f>'Row Data'!C72</f>
        <v>December</v>
      </c>
      <c r="D72" s="2">
        <f>DATE(B72,MATCH(C72,{"January","February","March","April","May","June","July","August","September","October","November","December"},0),1)</f>
        <v>41974</v>
      </c>
      <c r="E72">
        <f>'Row Data'!AD72</f>
        <v>118.4</v>
      </c>
      <c r="F72" s="3">
        <f t="shared" si="4"/>
        <v>4.501323918799649E-2</v>
      </c>
      <c r="G72" s="3">
        <f t="shared" si="5"/>
        <v>-5.0420168067226712E-3</v>
      </c>
      <c r="H72">
        <f>'Row Data'!P72</f>
        <v>124</v>
      </c>
      <c r="I72" s="3">
        <f t="shared" si="6"/>
        <v>-1.1164274322169154E-2</v>
      </c>
      <c r="J72" t="str">
        <f t="shared" si="7"/>
        <v>Pre-COVID</v>
      </c>
    </row>
    <row r="73" spans="1:10" x14ac:dyDescent="0.35">
      <c r="A73" t="str">
        <f>'Row Data'!A73</f>
        <v>Rural+Urban</v>
      </c>
      <c r="B73">
        <f>'Row Data'!B73</f>
        <v>2014</v>
      </c>
      <c r="C73" t="str">
        <f>'Row Data'!C73</f>
        <v>December</v>
      </c>
      <c r="D73" s="2">
        <f>DATE(B73,MATCH(C73,{"January","February","March","April","May","June","July","August","September","October","November","December"},0),1)</f>
        <v>41974</v>
      </c>
      <c r="E73">
        <f>'Row Data'!AD73</f>
        <v>119.4</v>
      </c>
      <c r="F73" s="3">
        <f t="shared" si="4"/>
        <v>4.2794759825327544E-2</v>
      </c>
      <c r="G73" s="3">
        <f t="shared" si="5"/>
        <v>-5.828476269775118E-3</v>
      </c>
      <c r="H73">
        <f>'Row Data'!P73</f>
        <v>123.6</v>
      </c>
      <c r="I73" s="3">
        <f t="shared" si="6"/>
        <v>-1.1990407673860948E-2</v>
      </c>
      <c r="J73" t="str">
        <f t="shared" si="7"/>
        <v>Pre-COVID</v>
      </c>
    </row>
    <row r="74" spans="1:10" x14ac:dyDescent="0.35">
      <c r="A74" t="str">
        <f>'Row Data'!A74</f>
        <v>Rural</v>
      </c>
      <c r="B74">
        <f>'Row Data'!B74</f>
        <v>2015</v>
      </c>
      <c r="C74" t="str">
        <f>'Row Data'!C74</f>
        <v>January</v>
      </c>
      <c r="D74" s="2">
        <f>DATE(B74,MATCH(C74,{"January","February","March","April","May","June","July","August","September","October","November","December"},0),1)</f>
        <v>42005</v>
      </c>
      <c r="E74">
        <f>'Row Data'!AD74</f>
        <v>120.3</v>
      </c>
      <c r="F74" s="3">
        <f t="shared" si="4"/>
        <v>5.3415061295971844E-2</v>
      </c>
      <c r="G74" s="3">
        <f t="shared" si="5"/>
        <v>0</v>
      </c>
      <c r="H74">
        <f>'Row Data'!P74</f>
        <v>122.8</v>
      </c>
      <c r="I74" s="3">
        <f t="shared" si="6"/>
        <v>-4.0551500405514584E-3</v>
      </c>
      <c r="J74" t="str">
        <f t="shared" si="7"/>
        <v>Pre-COVID</v>
      </c>
    </row>
    <row r="75" spans="1:10" x14ac:dyDescent="0.35">
      <c r="A75" t="str">
        <f>'Row Data'!A75</f>
        <v>Urban</v>
      </c>
      <c r="B75">
        <f>'Row Data'!B75</f>
        <v>2015</v>
      </c>
      <c r="C75" t="str">
        <f>'Row Data'!C75</f>
        <v>January</v>
      </c>
      <c r="D75" s="2">
        <f>DATE(B75,MATCH(C75,{"January","February","March","April","May","June","July","August","September","October","November","December"},0),1)</f>
        <v>42005</v>
      </c>
      <c r="E75">
        <f>'Row Data'!AD75</f>
        <v>118.5</v>
      </c>
      <c r="F75" s="3">
        <f t="shared" si="4"/>
        <v>4.9601417183348095E-2</v>
      </c>
      <c r="G75" s="3">
        <f t="shared" si="5"/>
        <v>8.4459459459451658E-4</v>
      </c>
      <c r="H75">
        <f>'Row Data'!P75</f>
        <v>123.5</v>
      </c>
      <c r="I75" s="3">
        <f t="shared" si="6"/>
        <v>-4.0322580645161255E-3</v>
      </c>
      <c r="J75" t="str">
        <f t="shared" si="7"/>
        <v>Pre-COVID</v>
      </c>
    </row>
    <row r="76" spans="1:10" x14ac:dyDescent="0.35">
      <c r="A76" t="str">
        <f>'Row Data'!A76</f>
        <v>Rural+Urban</v>
      </c>
      <c r="B76">
        <f>'Row Data'!B76</f>
        <v>2015</v>
      </c>
      <c r="C76" t="str">
        <f>'Row Data'!C76</f>
        <v>January</v>
      </c>
      <c r="D76" s="2">
        <f>DATE(B76,MATCH(C76,{"January","February","March","April","May","June","July","August","September","October","November","December"},0),1)</f>
        <v>42005</v>
      </c>
      <c r="E76">
        <f>'Row Data'!AD76</f>
        <v>119.5</v>
      </c>
      <c r="F76" s="3">
        <f t="shared" si="4"/>
        <v>5.1936619718309984E-2</v>
      </c>
      <c r="G76" s="3">
        <f t="shared" si="5"/>
        <v>8.3752093802336169E-4</v>
      </c>
      <c r="H76">
        <f>'Row Data'!P76</f>
        <v>123.1</v>
      </c>
      <c r="I76" s="3">
        <f t="shared" si="6"/>
        <v>-4.045307443365731E-3</v>
      </c>
      <c r="J76" t="str">
        <f t="shared" si="7"/>
        <v>Pre-COVID</v>
      </c>
    </row>
    <row r="77" spans="1:10" x14ac:dyDescent="0.35">
      <c r="A77" t="str">
        <f>'Row Data'!A77</f>
        <v>Rural</v>
      </c>
      <c r="B77">
        <f>'Row Data'!B77</f>
        <v>2015</v>
      </c>
      <c r="C77" t="str">
        <f>'Row Data'!C77</f>
        <v>February</v>
      </c>
      <c r="D77" s="2">
        <f>DATE(B77,MATCH(C77,{"January","February","March","April","May","June","July","August","September","October","November","December"},0),1)</f>
        <v>42036</v>
      </c>
      <c r="E77">
        <f>'Row Data'!AD77</f>
        <v>120.6</v>
      </c>
      <c r="F77" s="3">
        <f t="shared" si="4"/>
        <v>5.7894736842105221E-2</v>
      </c>
      <c r="G77" s="3">
        <f t="shared" si="5"/>
        <v>2.4937655860348684E-3</v>
      </c>
      <c r="H77">
        <f>'Row Data'!P77</f>
        <v>122.8</v>
      </c>
      <c r="I77" s="3">
        <f t="shared" si="6"/>
        <v>0</v>
      </c>
      <c r="J77" t="str">
        <f t="shared" si="7"/>
        <v>Pre-COVID</v>
      </c>
    </row>
    <row r="78" spans="1:10" x14ac:dyDescent="0.35">
      <c r="A78" t="str">
        <f>'Row Data'!A78</f>
        <v>Urban</v>
      </c>
      <c r="B78">
        <f>'Row Data'!B78</f>
        <v>2015</v>
      </c>
      <c r="C78" t="str">
        <f>'Row Data'!C78</f>
        <v>February</v>
      </c>
      <c r="D78" s="2">
        <f>DATE(B78,MATCH(C78,{"January","February","March","April","May","June","July","August","September","October","November","December"},0),1)</f>
        <v>42036</v>
      </c>
      <c r="E78">
        <f>'Row Data'!AD78</f>
        <v>118.7</v>
      </c>
      <c r="F78" s="3">
        <f t="shared" si="4"/>
        <v>4.9513704686118487E-2</v>
      </c>
      <c r="G78" s="3">
        <f t="shared" si="5"/>
        <v>1.6877637130801038E-3</v>
      </c>
      <c r="H78">
        <f>'Row Data'!P78</f>
        <v>123.7</v>
      </c>
      <c r="I78" s="3">
        <f t="shared" si="6"/>
        <v>1.6194331983805377E-3</v>
      </c>
      <c r="J78" t="str">
        <f t="shared" si="7"/>
        <v>Pre-COVID</v>
      </c>
    </row>
    <row r="79" spans="1:10" x14ac:dyDescent="0.35">
      <c r="A79" t="str">
        <f>'Row Data'!A79</f>
        <v>Rural+Urban</v>
      </c>
      <c r="B79">
        <f>'Row Data'!B79</f>
        <v>2015</v>
      </c>
      <c r="C79" t="str">
        <f>'Row Data'!C79</f>
        <v>February</v>
      </c>
      <c r="D79" s="2">
        <f>DATE(B79,MATCH(C79,{"January","February","March","April","May","June","July","August","September","October","November","December"},0),1)</f>
        <v>42036</v>
      </c>
      <c r="E79">
        <f>'Row Data'!AD79</f>
        <v>119.7</v>
      </c>
      <c r="F79" s="3">
        <f t="shared" si="4"/>
        <v>5.3697183098591728E-2</v>
      </c>
      <c r="G79" s="3">
        <f t="shared" si="5"/>
        <v>1.6736401673640433E-3</v>
      </c>
      <c r="H79">
        <f>'Row Data'!P79</f>
        <v>123.1</v>
      </c>
      <c r="I79" s="3">
        <f t="shared" si="6"/>
        <v>0</v>
      </c>
      <c r="J79" t="str">
        <f t="shared" si="7"/>
        <v>Pre-COVID</v>
      </c>
    </row>
    <row r="80" spans="1:10" x14ac:dyDescent="0.35">
      <c r="A80" t="str">
        <f>'Row Data'!A80</f>
        <v>Rural</v>
      </c>
      <c r="B80">
        <f>'Row Data'!B80</f>
        <v>2015</v>
      </c>
      <c r="C80" t="str">
        <f>'Row Data'!C80</f>
        <v>March</v>
      </c>
      <c r="D80" s="2">
        <f>DATE(B80,MATCH(C80,{"January","February","March","April","May","June","July","August","September","October","November","December"},0),1)</f>
        <v>42064</v>
      </c>
      <c r="E80">
        <f>'Row Data'!AD80</f>
        <v>121.1</v>
      </c>
      <c r="F80" s="3">
        <f t="shared" si="4"/>
        <v>5.6719022687609089E-2</v>
      </c>
      <c r="G80" s="3">
        <f t="shared" si="5"/>
        <v>4.1459369817578029E-3</v>
      </c>
      <c r="H80">
        <f>'Row Data'!P80</f>
        <v>123.1</v>
      </c>
      <c r="I80" s="3">
        <f t="shared" si="6"/>
        <v>2.4429967426708998E-3</v>
      </c>
      <c r="J80" t="str">
        <f t="shared" si="7"/>
        <v>Pre-COVID</v>
      </c>
    </row>
    <row r="81" spans="1:10" x14ac:dyDescent="0.35">
      <c r="A81" t="str">
        <f>'Row Data'!A81</f>
        <v>Urban</v>
      </c>
      <c r="B81">
        <f>'Row Data'!B81</f>
        <v>2015</v>
      </c>
      <c r="C81" t="str">
        <f>'Row Data'!C81</f>
        <v>March</v>
      </c>
      <c r="D81" s="2">
        <f>DATE(B81,MATCH(C81,{"January","February","March","April","May","June","July","August","September","October","November","December"},0),1)</f>
        <v>42064</v>
      </c>
      <c r="E81">
        <f>'Row Data'!AD81</f>
        <v>119.1</v>
      </c>
      <c r="F81" s="3">
        <f t="shared" si="4"/>
        <v>4.7493403693931402E-2</v>
      </c>
      <c r="G81" s="3">
        <f t="shared" si="5"/>
        <v>3.3698399326032025E-3</v>
      </c>
      <c r="H81">
        <f>'Row Data'!P81</f>
        <v>123.9</v>
      </c>
      <c r="I81" s="3">
        <f t="shared" si="6"/>
        <v>1.6168148746968924E-3</v>
      </c>
      <c r="J81" t="str">
        <f t="shared" si="7"/>
        <v>Pre-COVID</v>
      </c>
    </row>
    <row r="82" spans="1:10" x14ac:dyDescent="0.35">
      <c r="A82" t="str">
        <f>'Row Data'!A82</f>
        <v>Rural+Urban</v>
      </c>
      <c r="B82">
        <f>'Row Data'!B82</f>
        <v>2015</v>
      </c>
      <c r="C82" t="str">
        <f>'Row Data'!C82</f>
        <v>March</v>
      </c>
      <c r="D82" s="2">
        <f>DATE(B82,MATCH(C82,{"January","February","March","April","May","June","July","August","September","October","November","December"},0),1)</f>
        <v>42064</v>
      </c>
      <c r="E82">
        <f>'Row Data'!AD82</f>
        <v>120.2</v>
      </c>
      <c r="F82" s="3" t="str">
        <f t="shared" si="4"/>
        <v/>
      </c>
      <c r="G82" s="3">
        <f t="shared" si="5"/>
        <v>4.1771094402673903E-3</v>
      </c>
      <c r="H82">
        <f>'Row Data'!P82</f>
        <v>123.4</v>
      </c>
      <c r="I82" s="3">
        <f t="shared" si="6"/>
        <v>2.4370430544273791E-3</v>
      </c>
      <c r="J82" t="str">
        <f t="shared" si="7"/>
        <v>Pre-COVID</v>
      </c>
    </row>
    <row r="83" spans="1:10" x14ac:dyDescent="0.35">
      <c r="A83" t="str">
        <f>'Row Data'!A83</f>
        <v>Rural</v>
      </c>
      <c r="B83">
        <f>'Row Data'!B83</f>
        <v>2015</v>
      </c>
      <c r="C83" t="str">
        <f>'Row Data'!C83</f>
        <v>April</v>
      </c>
      <c r="D83" s="2">
        <f>DATE(B83,MATCH(C83,{"January","February","March","April","May","June","July","August","September","October","November","December"},0),1)</f>
        <v>42095</v>
      </c>
      <c r="E83">
        <f>'Row Data'!AD83</f>
        <v>121.5</v>
      </c>
      <c r="F83" s="3">
        <f t="shared" si="4"/>
        <v>5.2859618717504331E-2</v>
      </c>
      <c r="G83" s="3">
        <f t="shared" si="5"/>
        <v>3.303055326176807E-3</v>
      </c>
      <c r="H83">
        <f>'Row Data'!P83</f>
        <v>123.6</v>
      </c>
      <c r="I83" s="3">
        <f t="shared" si="6"/>
        <v>4.0617384240455578E-3</v>
      </c>
      <c r="J83" t="str">
        <f t="shared" si="7"/>
        <v>Pre-COVID</v>
      </c>
    </row>
    <row r="84" spans="1:10" x14ac:dyDescent="0.35">
      <c r="A84" t="str">
        <f>'Row Data'!A84</f>
        <v>Urban</v>
      </c>
      <c r="B84">
        <f>'Row Data'!B84</f>
        <v>2015</v>
      </c>
      <c r="C84" t="str">
        <f>'Row Data'!C84</f>
        <v>April</v>
      </c>
      <c r="D84" s="2">
        <f>DATE(B84,MATCH(C84,{"January","February","March","April","May","June","July","August","September","October","November","December"},0),1)</f>
        <v>42095</v>
      </c>
      <c r="E84">
        <f>'Row Data'!AD84</f>
        <v>119.7</v>
      </c>
      <c r="F84" s="3">
        <f t="shared" si="4"/>
        <v>4.3591979075850107E-2</v>
      </c>
      <c r="G84" s="3">
        <f t="shared" si="5"/>
        <v>5.0377833753150192E-3</v>
      </c>
      <c r="H84">
        <f>'Row Data'!P84</f>
        <v>124.6</v>
      </c>
      <c r="I84" s="3">
        <f t="shared" si="6"/>
        <v>5.6497175141241307E-3</v>
      </c>
      <c r="J84" t="str">
        <f t="shared" si="7"/>
        <v>Pre-COVID</v>
      </c>
    </row>
    <row r="85" spans="1:10" x14ac:dyDescent="0.35">
      <c r="A85" t="str">
        <f>'Row Data'!A85</f>
        <v>Rural+Urban</v>
      </c>
      <c r="B85">
        <f>'Row Data'!B85</f>
        <v>2015</v>
      </c>
      <c r="C85" t="str">
        <f>'Row Data'!C85</f>
        <v>April</v>
      </c>
      <c r="D85" s="2">
        <f>DATE(B85,MATCH(C85,{"January","February","March","April","May","June","July","August","September","October","November","December"},0),1)</f>
        <v>42095</v>
      </c>
      <c r="E85">
        <f>'Row Data'!AD85</f>
        <v>120.7</v>
      </c>
      <c r="F85" s="3">
        <f t="shared" si="4"/>
        <v>4.8653344917463093E-2</v>
      </c>
      <c r="G85" s="3">
        <f t="shared" si="5"/>
        <v>4.1597337770382659E-3</v>
      </c>
      <c r="H85">
        <f>'Row Data'!P85</f>
        <v>124</v>
      </c>
      <c r="I85" s="3">
        <f t="shared" si="6"/>
        <v>4.8622366288493257E-3</v>
      </c>
      <c r="J85" t="str">
        <f t="shared" si="7"/>
        <v>Pre-COVID</v>
      </c>
    </row>
    <row r="86" spans="1:10" x14ac:dyDescent="0.35">
      <c r="A86" t="str">
        <f>'Row Data'!A86</f>
        <v>Rural</v>
      </c>
      <c r="B86">
        <f>'Row Data'!B86</f>
        <v>2015</v>
      </c>
      <c r="C86" t="str">
        <f>'Row Data'!C86</f>
        <v>May</v>
      </c>
      <c r="D86" s="2">
        <f>DATE(B86,MATCH(C86,{"January","February","March","April","May","June","July","August","September","October","November","December"},0),1)</f>
        <v>42125</v>
      </c>
      <c r="E86">
        <f>'Row Data'!AD86</f>
        <v>122.4</v>
      </c>
      <c r="F86" s="3">
        <f t="shared" si="4"/>
        <v>5.5172413793103559E-2</v>
      </c>
      <c r="G86" s="3">
        <f t="shared" si="5"/>
        <v>7.4074074074075291E-3</v>
      </c>
      <c r="H86">
        <f>'Row Data'!P86</f>
        <v>124.4</v>
      </c>
      <c r="I86" s="3">
        <f t="shared" si="6"/>
        <v>6.4724919093852584E-3</v>
      </c>
      <c r="J86" t="str">
        <f t="shared" si="7"/>
        <v>Pre-COVID</v>
      </c>
    </row>
    <row r="87" spans="1:10" x14ac:dyDescent="0.35">
      <c r="A87" t="str">
        <f>'Row Data'!A87</f>
        <v>Urban</v>
      </c>
      <c r="B87">
        <f>'Row Data'!B87</f>
        <v>2015</v>
      </c>
      <c r="C87" t="str">
        <f>'Row Data'!C87</f>
        <v>May</v>
      </c>
      <c r="D87" s="2">
        <f>DATE(B87,MATCH(C87,{"January","February","March","April","May","June","July","August","September","October","November","December"},0),1)</f>
        <v>42125</v>
      </c>
      <c r="E87">
        <f>'Row Data'!AD87</f>
        <v>120.7</v>
      </c>
      <c r="F87" s="3">
        <f t="shared" si="4"/>
        <v>4.4117647058823595E-2</v>
      </c>
      <c r="G87" s="3">
        <f t="shared" si="5"/>
        <v>8.3542188805347806E-3</v>
      </c>
      <c r="H87">
        <f>'Row Data'!P87</f>
        <v>126.1</v>
      </c>
      <c r="I87" s="3">
        <f t="shared" si="6"/>
        <v>1.2038523274478408E-2</v>
      </c>
      <c r="J87" t="str">
        <f t="shared" si="7"/>
        <v>Pre-COVID</v>
      </c>
    </row>
    <row r="88" spans="1:10" x14ac:dyDescent="0.35">
      <c r="A88" t="str">
        <f>'Row Data'!A88</f>
        <v>Rural+Urban</v>
      </c>
      <c r="B88">
        <f>'Row Data'!B88</f>
        <v>2015</v>
      </c>
      <c r="C88" t="str">
        <f>'Row Data'!C88</f>
        <v>May</v>
      </c>
      <c r="D88" s="2">
        <f>DATE(B88,MATCH(C88,{"January","February","March","April","May","June","July","August","September","October","November","December"},0),1)</f>
        <v>42125</v>
      </c>
      <c r="E88">
        <f>'Row Data'!AD88</f>
        <v>121.6</v>
      </c>
      <c r="F88" s="3">
        <f t="shared" si="4"/>
        <v>5.0086355785837533E-2</v>
      </c>
      <c r="G88" s="3">
        <f t="shared" si="5"/>
        <v>7.4565037282516844E-3</v>
      </c>
      <c r="H88">
        <f>'Row Data'!P88</f>
        <v>125</v>
      </c>
      <c r="I88" s="3">
        <f t="shared" si="6"/>
        <v>8.0645161290322509E-3</v>
      </c>
      <c r="J88" t="str">
        <f t="shared" si="7"/>
        <v>Pre-COVID</v>
      </c>
    </row>
    <row r="89" spans="1:10" x14ac:dyDescent="0.35">
      <c r="A89" t="str">
        <f>'Row Data'!A89</f>
        <v>Rural</v>
      </c>
      <c r="B89">
        <f>'Row Data'!B89</f>
        <v>2015</v>
      </c>
      <c r="C89" t="str">
        <f>'Row Data'!C89</f>
        <v>June</v>
      </c>
      <c r="D89" s="2">
        <f>DATE(B89,MATCH(C89,{"January","February","March","April","May","June","July","August","September","October","November","December"},0),1)</f>
        <v>42156</v>
      </c>
      <c r="E89">
        <f>'Row Data'!AD89</f>
        <v>124.1</v>
      </c>
      <c r="F89" s="3">
        <f t="shared" si="4"/>
        <v>6.068376068376069E-2</v>
      </c>
      <c r="G89" s="3">
        <f t="shared" si="5"/>
        <v>1.388888888888884E-2</v>
      </c>
      <c r="H89">
        <f>'Row Data'!P89</f>
        <v>126.6</v>
      </c>
      <c r="I89" s="3">
        <f t="shared" si="6"/>
        <v>1.7684887459807008E-2</v>
      </c>
      <c r="J89" t="str">
        <f t="shared" si="7"/>
        <v>Pre-COVID</v>
      </c>
    </row>
    <row r="90" spans="1:10" x14ac:dyDescent="0.35">
      <c r="A90" t="str">
        <f>'Row Data'!A90</f>
        <v>Urban</v>
      </c>
      <c r="B90">
        <f>'Row Data'!B90</f>
        <v>2015</v>
      </c>
      <c r="C90" t="str">
        <f>'Row Data'!C90</f>
        <v>June</v>
      </c>
      <c r="D90" s="2">
        <f>DATE(B90,MATCH(C90,{"January","February","March","April","May","June","July","August","September","October","November","December"},0),1)</f>
        <v>42156</v>
      </c>
      <c r="E90">
        <f>'Row Data'!AD90</f>
        <v>121.7</v>
      </c>
      <c r="F90" s="3">
        <f t="shared" si="4"/>
        <v>4.5532646048110026E-2</v>
      </c>
      <c r="G90" s="3">
        <f t="shared" si="5"/>
        <v>8.2850041425019949E-3</v>
      </c>
      <c r="H90">
        <f>'Row Data'!P90</f>
        <v>128.5</v>
      </c>
      <c r="I90" s="3">
        <f t="shared" si="6"/>
        <v>1.9032513877874857E-2</v>
      </c>
      <c r="J90" t="str">
        <f t="shared" si="7"/>
        <v>Pre-COVID</v>
      </c>
    </row>
    <row r="91" spans="1:10" x14ac:dyDescent="0.35">
      <c r="A91" t="str">
        <f>'Row Data'!A91</f>
        <v>Rural+Urban</v>
      </c>
      <c r="B91">
        <f>'Row Data'!B91</f>
        <v>2015</v>
      </c>
      <c r="C91" t="str">
        <f>'Row Data'!C91</f>
        <v>June</v>
      </c>
      <c r="D91" s="2">
        <f>DATE(B91,MATCH(C91,{"January","February","March","April","May","June","July","August","September","October","November","December"},0),1)</f>
        <v>42156</v>
      </c>
      <c r="E91">
        <f>'Row Data'!AD91</f>
        <v>123</v>
      </c>
      <c r="F91" s="3">
        <f t="shared" si="4"/>
        <v>5.3984575835475557E-2</v>
      </c>
      <c r="G91" s="3">
        <f t="shared" si="5"/>
        <v>1.1513157894736947E-2</v>
      </c>
      <c r="H91">
        <f>'Row Data'!P91</f>
        <v>127.3</v>
      </c>
      <c r="I91" s="3">
        <f t="shared" si="6"/>
        <v>1.8399999999999972E-2</v>
      </c>
      <c r="J91" t="str">
        <f t="shared" si="7"/>
        <v>Pre-COVID</v>
      </c>
    </row>
    <row r="92" spans="1:10" x14ac:dyDescent="0.35">
      <c r="A92" t="str">
        <f>'Row Data'!A92</f>
        <v>Rural</v>
      </c>
      <c r="B92">
        <f>'Row Data'!B92</f>
        <v>2015</v>
      </c>
      <c r="C92" t="str">
        <f>'Row Data'!C92</f>
        <v>July</v>
      </c>
      <c r="D92" s="2">
        <f>DATE(B92,MATCH(C92,{"January","February","March","April","May","June","July","August","September","October","November","December"},0),1)</f>
        <v>42186</v>
      </c>
      <c r="E92">
        <f>'Row Data'!AD92</f>
        <v>124.7</v>
      </c>
      <c r="F92" s="3">
        <f t="shared" si="4"/>
        <v>4.351464435146446E-2</v>
      </c>
      <c r="G92" s="3">
        <f t="shared" si="5"/>
        <v>4.8348106365834198E-3</v>
      </c>
      <c r="H92">
        <f>'Row Data'!P92</f>
        <v>127.5</v>
      </c>
      <c r="I92" s="3">
        <f t="shared" si="6"/>
        <v>7.1090047393365108E-3</v>
      </c>
      <c r="J92" t="str">
        <f t="shared" si="7"/>
        <v>Pre-COVID</v>
      </c>
    </row>
    <row r="93" spans="1:10" x14ac:dyDescent="0.35">
      <c r="A93" t="str">
        <f>'Row Data'!A93</f>
        <v>Urban</v>
      </c>
      <c r="B93">
        <f>'Row Data'!B93</f>
        <v>2015</v>
      </c>
      <c r="C93" t="str">
        <f>'Row Data'!C93</f>
        <v>July</v>
      </c>
      <c r="D93" s="2">
        <f>DATE(B93,MATCH(C93,{"January","February","March","April","May","June","July","August","September","October","November","December"},0),1)</f>
        <v>42186</v>
      </c>
      <c r="E93">
        <f>'Row Data'!AD93</f>
        <v>122.4</v>
      </c>
      <c r="F93" s="3">
        <f t="shared" si="4"/>
        <v>2.9436501261564274E-2</v>
      </c>
      <c r="G93" s="3">
        <f t="shared" si="5"/>
        <v>5.7518488085457342E-3</v>
      </c>
      <c r="H93">
        <f>'Row Data'!P93</f>
        <v>129.5</v>
      </c>
      <c r="I93" s="3">
        <f t="shared" si="6"/>
        <v>7.7821011673151474E-3</v>
      </c>
      <c r="J93" t="str">
        <f t="shared" si="7"/>
        <v>Pre-COVID</v>
      </c>
    </row>
    <row r="94" spans="1:10" x14ac:dyDescent="0.35">
      <c r="A94" t="str">
        <f>'Row Data'!A94</f>
        <v>Rural+Urban</v>
      </c>
      <c r="B94">
        <f>'Row Data'!B94</f>
        <v>2015</v>
      </c>
      <c r="C94" t="str">
        <f>'Row Data'!C94</f>
        <v>July</v>
      </c>
      <c r="D94" s="2">
        <f>DATE(B94,MATCH(C94,{"January","February","March","April","May","June","July","August","September","October","November","December"},0),1)</f>
        <v>42186</v>
      </c>
      <c r="E94">
        <f>'Row Data'!AD94</f>
        <v>123.6</v>
      </c>
      <c r="F94" s="3">
        <f t="shared" si="4"/>
        <v>3.691275167785224E-2</v>
      </c>
      <c r="G94" s="3">
        <f t="shared" si="5"/>
        <v>4.8780487804878092E-3</v>
      </c>
      <c r="H94">
        <f>'Row Data'!P94</f>
        <v>128.19999999999999</v>
      </c>
      <c r="I94" s="3">
        <f t="shared" si="6"/>
        <v>7.0699135899450205E-3</v>
      </c>
      <c r="J94" t="str">
        <f t="shared" si="7"/>
        <v>Pre-COVID</v>
      </c>
    </row>
    <row r="95" spans="1:10" x14ac:dyDescent="0.35">
      <c r="A95" t="str">
        <f>'Row Data'!A95</f>
        <v>Rural</v>
      </c>
      <c r="B95">
        <f>'Row Data'!B95</f>
        <v>2015</v>
      </c>
      <c r="C95" t="str">
        <f>'Row Data'!C95</f>
        <v>August</v>
      </c>
      <c r="D95" s="2">
        <f>DATE(B95,MATCH(C95,{"January","February","March","April","May","June","July","August","September","October","November","December"},0),1)</f>
        <v>42217</v>
      </c>
      <c r="E95">
        <f>'Row Data'!AD95</f>
        <v>126.1</v>
      </c>
      <c r="F95" s="3">
        <f t="shared" si="4"/>
        <v>4.4739022369511217E-2</v>
      </c>
      <c r="G95" s="3">
        <f t="shared" si="5"/>
        <v>1.1226944667201311E-2</v>
      </c>
      <c r="H95">
        <f>'Row Data'!P95</f>
        <v>129.80000000000001</v>
      </c>
      <c r="I95" s="3">
        <f t="shared" si="6"/>
        <v>1.8039215686274535E-2</v>
      </c>
      <c r="J95" t="str">
        <f t="shared" si="7"/>
        <v>Pre-COVID</v>
      </c>
    </row>
    <row r="96" spans="1:10" x14ac:dyDescent="0.35">
      <c r="A96" t="str">
        <f>'Row Data'!A96</f>
        <v>Urban</v>
      </c>
      <c r="B96">
        <f>'Row Data'!B96</f>
        <v>2015</v>
      </c>
      <c r="C96" t="str">
        <f>'Row Data'!C96</f>
        <v>August</v>
      </c>
      <c r="D96" s="2">
        <f>DATE(B96,MATCH(C96,{"January","February","March","April","May","June","July","August","September","October","November","December"},0),1)</f>
        <v>42217</v>
      </c>
      <c r="E96">
        <f>'Row Data'!AD96</f>
        <v>123.2</v>
      </c>
      <c r="F96" s="3">
        <f t="shared" si="4"/>
        <v>2.7522935779816571E-2</v>
      </c>
      <c r="G96" s="3">
        <f t="shared" si="5"/>
        <v>6.5359477124182774E-3</v>
      </c>
      <c r="H96">
        <f>'Row Data'!P96</f>
        <v>131.1</v>
      </c>
      <c r="I96" s="3">
        <f t="shared" si="6"/>
        <v>1.2355212355212419E-2</v>
      </c>
      <c r="J96" t="str">
        <f t="shared" si="7"/>
        <v>Pre-COVID</v>
      </c>
    </row>
    <row r="97" spans="1:10" x14ac:dyDescent="0.35">
      <c r="A97" t="str">
        <f>'Row Data'!A97</f>
        <v>Rural+Urban</v>
      </c>
      <c r="B97">
        <f>'Row Data'!B97</f>
        <v>2015</v>
      </c>
      <c r="C97" t="str">
        <f>'Row Data'!C97</f>
        <v>August</v>
      </c>
      <c r="D97" s="2">
        <f>DATE(B97,MATCH(C97,{"January","February","March","April","May","June","July","August","September","October","November","December"},0),1)</f>
        <v>42217</v>
      </c>
      <c r="E97">
        <f>'Row Data'!AD97</f>
        <v>124.8</v>
      </c>
      <c r="F97" s="3">
        <f t="shared" si="4"/>
        <v>3.7406483790523692E-2</v>
      </c>
      <c r="G97" s="3">
        <f t="shared" si="5"/>
        <v>9.7087378640776656E-3</v>
      </c>
      <c r="H97">
        <f>'Row Data'!P97</f>
        <v>130.30000000000001</v>
      </c>
      <c r="I97" s="3">
        <f t="shared" si="6"/>
        <v>1.6380655226209129E-2</v>
      </c>
      <c r="J97" t="str">
        <f t="shared" si="7"/>
        <v>Pre-COVID</v>
      </c>
    </row>
    <row r="98" spans="1:10" x14ac:dyDescent="0.35">
      <c r="A98" t="str">
        <f>'Row Data'!A98</f>
        <v>Rural</v>
      </c>
      <c r="B98">
        <f>'Row Data'!B98</f>
        <v>2015</v>
      </c>
      <c r="C98" t="str">
        <f>'Row Data'!C98</f>
        <v>September</v>
      </c>
      <c r="D98" s="2">
        <f>DATE(B98,MATCH(C98,{"January","February","March","April","May","June","July","August","September","October","November","December"},0),1)</f>
        <v>42248</v>
      </c>
      <c r="E98">
        <f>'Row Data'!AD98</f>
        <v>127</v>
      </c>
      <c r="F98" s="3">
        <f t="shared" si="4"/>
        <v>5.0454921422663279E-2</v>
      </c>
      <c r="G98" s="3">
        <f t="shared" si="5"/>
        <v>7.1371927042029881E-3</v>
      </c>
      <c r="H98">
        <f>'Row Data'!P98</f>
        <v>131</v>
      </c>
      <c r="I98" s="3">
        <f t="shared" si="6"/>
        <v>9.244992295839749E-3</v>
      </c>
      <c r="J98" t="str">
        <f t="shared" si="7"/>
        <v>Pre-COVID</v>
      </c>
    </row>
    <row r="99" spans="1:10" x14ac:dyDescent="0.35">
      <c r="A99" t="str">
        <f>'Row Data'!A99</f>
        <v>Urban</v>
      </c>
      <c r="B99">
        <f>'Row Data'!B99</f>
        <v>2015</v>
      </c>
      <c r="C99" t="str">
        <f>'Row Data'!C99</f>
        <v>September</v>
      </c>
      <c r="D99" s="2">
        <f>DATE(B99,MATCH(C99,{"January","February","March","April","May","June","July","August","September","October","November","December"},0),1)</f>
        <v>42248</v>
      </c>
      <c r="E99">
        <f>'Row Data'!AD99</f>
        <v>123.5</v>
      </c>
      <c r="F99" s="3">
        <f t="shared" si="4"/>
        <v>3.6073825503355694E-2</v>
      </c>
      <c r="G99" s="3">
        <f t="shared" si="5"/>
        <v>2.4350649350648457E-3</v>
      </c>
      <c r="H99">
        <f>'Row Data'!P99</f>
        <v>131.5</v>
      </c>
      <c r="I99" s="3">
        <f t="shared" si="6"/>
        <v>3.0511060259343914E-3</v>
      </c>
      <c r="J99" t="str">
        <f t="shared" si="7"/>
        <v>Pre-COVID</v>
      </c>
    </row>
    <row r="100" spans="1:10" x14ac:dyDescent="0.35">
      <c r="A100" t="str">
        <f>'Row Data'!A100</f>
        <v>Rural+Urban</v>
      </c>
      <c r="B100">
        <f>'Row Data'!B100</f>
        <v>2015</v>
      </c>
      <c r="C100" t="str">
        <f>'Row Data'!C100</f>
        <v>September</v>
      </c>
      <c r="D100" s="2">
        <f>DATE(B100,MATCH(C100,{"January","February","March","April","May","June","July","August","September","October","November","December"},0),1)</f>
        <v>42248</v>
      </c>
      <c r="E100">
        <f>'Row Data'!AD100</f>
        <v>125.4</v>
      </c>
      <c r="F100" s="3">
        <f t="shared" si="4"/>
        <v>4.4129891756869322E-2</v>
      </c>
      <c r="G100" s="3">
        <f t="shared" si="5"/>
        <v>4.8076923076922906E-3</v>
      </c>
      <c r="H100">
        <f>'Row Data'!P100</f>
        <v>131.19999999999999</v>
      </c>
      <c r="I100" s="3">
        <f t="shared" si="6"/>
        <v>6.9071373752875864E-3</v>
      </c>
      <c r="J100" t="str">
        <f t="shared" si="7"/>
        <v>Pre-COVID</v>
      </c>
    </row>
    <row r="101" spans="1:10" x14ac:dyDescent="0.35">
      <c r="A101" t="str">
        <f>'Row Data'!A101</f>
        <v>Rural</v>
      </c>
      <c r="B101">
        <f>'Row Data'!B101</f>
        <v>2015</v>
      </c>
      <c r="C101" t="str">
        <f>'Row Data'!C101</f>
        <v>October</v>
      </c>
      <c r="D101" s="2">
        <f>DATE(B101,MATCH(C101,{"January","February","March","April","May","June","July","August","September","October","November","December"},0),1)</f>
        <v>42278</v>
      </c>
      <c r="E101">
        <f>'Row Data'!AD101</f>
        <v>127.7</v>
      </c>
      <c r="F101" s="3">
        <f t="shared" si="4"/>
        <v>5.5371900826446385E-2</v>
      </c>
      <c r="G101" s="3">
        <f t="shared" si="5"/>
        <v>5.5118110236220819E-3</v>
      </c>
      <c r="H101">
        <f>'Row Data'!P101</f>
        <v>131.80000000000001</v>
      </c>
      <c r="I101" s="3">
        <f t="shared" si="6"/>
        <v>6.1068702290076882E-3</v>
      </c>
      <c r="J101" t="str">
        <f t="shared" si="7"/>
        <v>Pre-COVID</v>
      </c>
    </row>
    <row r="102" spans="1:10" x14ac:dyDescent="0.35">
      <c r="A102" t="str">
        <f>'Row Data'!A102</f>
        <v>Urban</v>
      </c>
      <c r="B102">
        <f>'Row Data'!B102</f>
        <v>2015</v>
      </c>
      <c r="C102" t="str">
        <f>'Row Data'!C102</f>
        <v>October</v>
      </c>
      <c r="D102" s="2">
        <f>DATE(B102,MATCH(C102,{"January","February","March","April","May","June","July","August","September","October","November","December"},0),1)</f>
        <v>42278</v>
      </c>
      <c r="E102">
        <f>'Row Data'!AD102</f>
        <v>124.2</v>
      </c>
      <c r="F102" s="3">
        <f t="shared" si="4"/>
        <v>4.2821158690176331E-2</v>
      </c>
      <c r="G102" s="3">
        <f t="shared" si="5"/>
        <v>5.6680161943321039E-3</v>
      </c>
      <c r="H102">
        <f>'Row Data'!P102</f>
        <v>132.6</v>
      </c>
      <c r="I102" s="3">
        <f t="shared" si="6"/>
        <v>8.365019011406849E-3</v>
      </c>
      <c r="J102" t="str">
        <f t="shared" si="7"/>
        <v>Pre-COVID</v>
      </c>
    </row>
    <row r="103" spans="1:10" x14ac:dyDescent="0.35">
      <c r="A103" t="str">
        <f>'Row Data'!A103</f>
        <v>Rural+Urban</v>
      </c>
      <c r="B103">
        <f>'Row Data'!B103</f>
        <v>2015</v>
      </c>
      <c r="C103" t="str">
        <f>'Row Data'!C103</f>
        <v>October</v>
      </c>
      <c r="D103" s="2">
        <f>DATE(B103,MATCH(C103,{"January","February","March","April","May","June","July","August","September","October","November","December"},0),1)</f>
        <v>42278</v>
      </c>
      <c r="E103">
        <f>'Row Data'!AD103</f>
        <v>126.1</v>
      </c>
      <c r="F103" s="3">
        <f t="shared" si="4"/>
        <v>4.995836802664444E-2</v>
      </c>
      <c r="G103" s="3">
        <f t="shared" si="5"/>
        <v>5.5821371610844661E-3</v>
      </c>
      <c r="H103">
        <f>'Row Data'!P103</f>
        <v>132.1</v>
      </c>
      <c r="I103" s="3">
        <f t="shared" si="6"/>
        <v>6.8597560975609539E-3</v>
      </c>
      <c r="J103" t="str">
        <f t="shared" si="7"/>
        <v>Pre-COVID</v>
      </c>
    </row>
    <row r="104" spans="1:10" x14ac:dyDescent="0.35">
      <c r="A104" t="str">
        <f>'Row Data'!A104</f>
        <v>Rural</v>
      </c>
      <c r="B104">
        <f>'Row Data'!B104</f>
        <v>2015</v>
      </c>
      <c r="C104" t="str">
        <f>'Row Data'!C104</f>
        <v>November</v>
      </c>
      <c r="D104" s="2">
        <f>DATE(B104,MATCH(C104,{"January","February","March","April","May","June","July","August","September","October","November","December"},0),1)</f>
        <v>42309</v>
      </c>
      <c r="E104">
        <f>'Row Data'!AD104</f>
        <v>128.30000000000001</v>
      </c>
      <c r="F104" s="3">
        <f t="shared" si="4"/>
        <v>5.9454995871180971E-2</v>
      </c>
      <c r="G104" s="3">
        <f t="shared" si="5"/>
        <v>4.6985121378231298E-3</v>
      </c>
      <c r="H104">
        <f>'Row Data'!P104</f>
        <v>132.4</v>
      </c>
      <c r="I104" s="3">
        <f t="shared" si="6"/>
        <v>4.5523520485584168E-3</v>
      </c>
      <c r="J104" t="str">
        <f t="shared" si="7"/>
        <v>Pre-COVID</v>
      </c>
    </row>
    <row r="105" spans="1:10" x14ac:dyDescent="0.35">
      <c r="A105" t="str">
        <f>'Row Data'!A105</f>
        <v>Urban</v>
      </c>
      <c r="B105">
        <f>'Row Data'!B105</f>
        <v>2015</v>
      </c>
      <c r="C105" t="str">
        <f>'Row Data'!C105</f>
        <v>November</v>
      </c>
      <c r="D105" s="2">
        <f>DATE(B105,MATCH(C105,{"January","February","March","April","May","June","July","August","September","October","November","December"},0),1)</f>
        <v>42309</v>
      </c>
      <c r="E105">
        <f>'Row Data'!AD105</f>
        <v>124.6</v>
      </c>
      <c r="F105" s="3">
        <f t="shared" si="4"/>
        <v>4.705882352941182E-2</v>
      </c>
      <c r="G105" s="3">
        <f t="shared" si="5"/>
        <v>3.2206119162641045E-3</v>
      </c>
      <c r="H105">
        <f>'Row Data'!P105</f>
        <v>133.30000000000001</v>
      </c>
      <c r="I105" s="3">
        <f t="shared" si="6"/>
        <v>5.2790346907996E-3</v>
      </c>
      <c r="J105" t="str">
        <f t="shared" si="7"/>
        <v>Pre-COVID</v>
      </c>
    </row>
    <row r="106" spans="1:10" x14ac:dyDescent="0.35">
      <c r="A106" t="str">
        <f>'Row Data'!A106</f>
        <v>Rural+Urban</v>
      </c>
      <c r="B106">
        <f>'Row Data'!B106</f>
        <v>2015</v>
      </c>
      <c r="C106" t="str">
        <f>'Row Data'!C106</f>
        <v>November</v>
      </c>
      <c r="D106" s="2">
        <f>DATE(B106,MATCH(C106,{"January","February","March","April","May","June","July","August","September","October","November","December"},0),1)</f>
        <v>42309</v>
      </c>
      <c r="E106">
        <f>'Row Data'!AD106</f>
        <v>126.6</v>
      </c>
      <c r="F106" s="3">
        <f t="shared" si="4"/>
        <v>5.4121565362198254E-2</v>
      </c>
      <c r="G106" s="3">
        <f t="shared" si="5"/>
        <v>3.965107057890549E-3</v>
      </c>
      <c r="H106">
        <f>'Row Data'!P106</f>
        <v>132.69999999999999</v>
      </c>
      <c r="I106" s="3">
        <f t="shared" si="6"/>
        <v>4.5420136260407862E-3</v>
      </c>
      <c r="J106" t="str">
        <f t="shared" si="7"/>
        <v>Pre-COVID</v>
      </c>
    </row>
    <row r="107" spans="1:10" x14ac:dyDescent="0.35">
      <c r="A107" t="str">
        <f>'Row Data'!A107</f>
        <v>Rural</v>
      </c>
      <c r="B107">
        <f>'Row Data'!B107</f>
        <v>2015</v>
      </c>
      <c r="C107" t="str">
        <f>'Row Data'!C107</f>
        <v>December</v>
      </c>
      <c r="D107" s="2">
        <f>DATE(B107,MATCH(C107,{"January","February","March","April","May","June","July","August","September","October","November","December"},0),1)</f>
        <v>42339</v>
      </c>
      <c r="E107">
        <f>'Row Data'!AD107</f>
        <v>127.9</v>
      </c>
      <c r="F107" s="3">
        <f t="shared" si="4"/>
        <v>6.3175394846217925E-2</v>
      </c>
      <c r="G107" s="3">
        <f t="shared" si="5"/>
        <v>-3.1176929072487258E-3</v>
      </c>
      <c r="H107">
        <f>'Row Data'!P107</f>
        <v>131.4</v>
      </c>
      <c r="I107" s="3">
        <f t="shared" si="6"/>
        <v>-7.5528700906344337E-3</v>
      </c>
      <c r="J107" t="str">
        <f t="shared" si="7"/>
        <v>Pre-COVID</v>
      </c>
    </row>
    <row r="108" spans="1:10" x14ac:dyDescent="0.35">
      <c r="A108" t="str">
        <f>'Row Data'!A108</f>
        <v>Urban</v>
      </c>
      <c r="B108">
        <f>'Row Data'!B108</f>
        <v>2015</v>
      </c>
      <c r="C108" t="str">
        <f>'Row Data'!C108</f>
        <v>December</v>
      </c>
      <c r="D108" s="2">
        <f>DATE(B108,MATCH(C108,{"January","February","March","April","May","June","July","August","September","October","November","December"},0),1)</f>
        <v>42339</v>
      </c>
      <c r="E108">
        <f>'Row Data'!AD108</f>
        <v>124</v>
      </c>
      <c r="F108" s="3">
        <f t="shared" si="4"/>
        <v>4.7297297297297147E-2</v>
      </c>
      <c r="G108" s="3">
        <f t="shared" si="5"/>
        <v>-4.8154093097912964E-3</v>
      </c>
      <c r="H108">
        <f>'Row Data'!P108</f>
        <v>131.5</v>
      </c>
      <c r="I108" s="3">
        <f t="shared" si="6"/>
        <v>-1.3503375843961107E-2</v>
      </c>
      <c r="J108" t="str">
        <f t="shared" si="7"/>
        <v>Pre-COVID</v>
      </c>
    </row>
    <row r="109" spans="1:10" x14ac:dyDescent="0.35">
      <c r="A109" t="str">
        <f>'Row Data'!A109</f>
        <v>Rural+Urban</v>
      </c>
      <c r="B109">
        <f>'Row Data'!B109</f>
        <v>2015</v>
      </c>
      <c r="C109" t="str">
        <f>'Row Data'!C109</f>
        <v>December</v>
      </c>
      <c r="D109" s="2">
        <f>DATE(B109,MATCH(C109,{"January","February","March","April","May","June","July","August","September","October","November","December"},0),1)</f>
        <v>42339</v>
      </c>
      <c r="E109">
        <f>'Row Data'!AD109</f>
        <v>126.1</v>
      </c>
      <c r="F109" s="3">
        <f t="shared" si="4"/>
        <v>5.6113902847571007E-2</v>
      </c>
      <c r="G109" s="3">
        <f t="shared" si="5"/>
        <v>-3.949447077409185E-3</v>
      </c>
      <c r="H109">
        <f>'Row Data'!P109</f>
        <v>131.4</v>
      </c>
      <c r="I109" s="3">
        <f t="shared" si="6"/>
        <v>-9.7965335342877768E-3</v>
      </c>
      <c r="J109" t="str">
        <f t="shared" si="7"/>
        <v>Pre-COVID</v>
      </c>
    </row>
    <row r="110" spans="1:10" x14ac:dyDescent="0.35">
      <c r="A110" t="str">
        <f>'Row Data'!A110</f>
        <v>Rural</v>
      </c>
      <c r="B110">
        <f>'Row Data'!B110</f>
        <v>2016</v>
      </c>
      <c r="C110" t="str">
        <f>'Row Data'!C110</f>
        <v>January</v>
      </c>
      <c r="D110" s="2">
        <f>DATE(B110,MATCH(C110,{"January","February","March","April","May","June","July","August","September","October","November","December"},0),1)</f>
        <v>42370</v>
      </c>
      <c r="E110">
        <f>'Row Data'!AD110</f>
        <v>128.1</v>
      </c>
      <c r="F110" s="3">
        <f t="shared" si="4"/>
        <v>6.4837905236907689E-2</v>
      </c>
      <c r="G110" s="3">
        <f t="shared" si="5"/>
        <v>1.5637216575448143E-3</v>
      </c>
      <c r="H110">
        <f>'Row Data'!P110</f>
        <v>131.4</v>
      </c>
      <c r="I110" s="3">
        <f t="shared" si="6"/>
        <v>0</v>
      </c>
      <c r="J110" t="str">
        <f t="shared" si="7"/>
        <v>Pre-COVID</v>
      </c>
    </row>
    <row r="111" spans="1:10" x14ac:dyDescent="0.35">
      <c r="A111" t="str">
        <f>'Row Data'!A111</f>
        <v>Urban</v>
      </c>
      <c r="B111">
        <f>'Row Data'!B111</f>
        <v>2016</v>
      </c>
      <c r="C111" t="str">
        <f>'Row Data'!C111</f>
        <v>January</v>
      </c>
      <c r="D111" s="2">
        <f>DATE(B111,MATCH(C111,{"January","February","March","April","May","June","July","August","September","October","November","December"},0),1)</f>
        <v>42370</v>
      </c>
      <c r="E111">
        <f>'Row Data'!AD111</f>
        <v>124.2</v>
      </c>
      <c r="F111" s="3">
        <f t="shared" si="4"/>
        <v>4.8101265822784844E-2</v>
      </c>
      <c r="G111" s="3">
        <f t="shared" si="5"/>
        <v>1.612903225806539E-3</v>
      </c>
      <c r="H111">
        <f>'Row Data'!P111</f>
        <v>131.19999999999999</v>
      </c>
      <c r="I111" s="3">
        <f t="shared" si="6"/>
        <v>-2.2813688212928174E-3</v>
      </c>
      <c r="J111" t="str">
        <f t="shared" si="7"/>
        <v>Pre-COVID</v>
      </c>
    </row>
    <row r="112" spans="1:10" x14ac:dyDescent="0.35">
      <c r="A112" t="str">
        <f>'Row Data'!A112</f>
        <v>Rural+Urban</v>
      </c>
      <c r="B112">
        <f>'Row Data'!B112</f>
        <v>2016</v>
      </c>
      <c r="C112" t="str">
        <f>'Row Data'!C112</f>
        <v>January</v>
      </c>
      <c r="D112" s="2">
        <f>DATE(B112,MATCH(C112,{"January","February","March","April","May","June","July","August","September","October","November","December"},0),1)</f>
        <v>42370</v>
      </c>
      <c r="E112">
        <f>'Row Data'!AD112</f>
        <v>126.3</v>
      </c>
      <c r="F112" s="3">
        <f t="shared" si="4"/>
        <v>5.6903765690376584E-2</v>
      </c>
      <c r="G112" s="3">
        <f t="shared" si="5"/>
        <v>1.5860428231562196E-3</v>
      </c>
      <c r="H112">
        <f>'Row Data'!P112</f>
        <v>131.30000000000001</v>
      </c>
      <c r="I112" s="3">
        <f t="shared" si="6"/>
        <v>-7.6103500761026677E-4</v>
      </c>
      <c r="J112" t="str">
        <f t="shared" si="7"/>
        <v>Pre-COVID</v>
      </c>
    </row>
    <row r="113" spans="1:10" x14ac:dyDescent="0.35">
      <c r="A113" t="str">
        <f>'Row Data'!A113</f>
        <v>Rural</v>
      </c>
      <c r="B113">
        <f>'Row Data'!B113</f>
        <v>2016</v>
      </c>
      <c r="C113" t="str">
        <f>'Row Data'!C113</f>
        <v>February</v>
      </c>
      <c r="D113" s="2">
        <f>DATE(B113,MATCH(C113,{"January","February","March","April","May","June","July","August","September","October","November","December"},0),1)</f>
        <v>42401</v>
      </c>
      <c r="E113">
        <f>'Row Data'!AD113</f>
        <v>127.9</v>
      </c>
      <c r="F113" s="3">
        <f t="shared" si="4"/>
        <v>6.0530679933665121E-2</v>
      </c>
      <c r="G113" s="3">
        <f t="shared" si="5"/>
        <v>-1.5612802498047307E-3</v>
      </c>
      <c r="H113">
        <f>'Row Data'!P113</f>
        <v>130.30000000000001</v>
      </c>
      <c r="I113" s="3">
        <f t="shared" si="6"/>
        <v>-8.3713850837138226E-3</v>
      </c>
      <c r="J113" t="str">
        <f t="shared" si="7"/>
        <v>Pre-COVID</v>
      </c>
    </row>
    <row r="114" spans="1:10" x14ac:dyDescent="0.35">
      <c r="A114" t="str">
        <f>'Row Data'!A114</f>
        <v>Urban</v>
      </c>
      <c r="B114">
        <f>'Row Data'!B114</f>
        <v>2016</v>
      </c>
      <c r="C114" t="str">
        <f>'Row Data'!C114</f>
        <v>February</v>
      </c>
      <c r="D114" s="2">
        <f>DATE(B114,MATCH(C114,{"January","February","March","April","May","June","July","August","September","October","November","December"},0),1)</f>
        <v>42401</v>
      </c>
      <c r="E114">
        <f>'Row Data'!AD114</f>
        <v>123.8</v>
      </c>
      <c r="F114" s="3">
        <f t="shared" si="4"/>
        <v>4.296545914069072E-2</v>
      </c>
      <c r="G114" s="3">
        <f t="shared" si="5"/>
        <v>-3.2206119162641045E-3</v>
      </c>
      <c r="H114">
        <f>'Row Data'!P114</f>
        <v>129.1</v>
      </c>
      <c r="I114" s="3">
        <f t="shared" si="6"/>
        <v>-1.6006097560975596E-2</v>
      </c>
      <c r="J114" t="str">
        <f t="shared" si="7"/>
        <v>Pre-COVID</v>
      </c>
    </row>
    <row r="115" spans="1:10" x14ac:dyDescent="0.35">
      <c r="A115" t="str">
        <f>'Row Data'!A115</f>
        <v>Rural+Urban</v>
      </c>
      <c r="B115">
        <f>'Row Data'!B115</f>
        <v>2016</v>
      </c>
      <c r="C115" t="str">
        <f>'Row Data'!C115</f>
        <v>February</v>
      </c>
      <c r="D115" s="2">
        <f>DATE(B115,MATCH(C115,{"January","February","March","April","May","June","July","August","September","October","November","December"},0),1)</f>
        <v>42401</v>
      </c>
      <c r="E115">
        <f>'Row Data'!AD115</f>
        <v>126</v>
      </c>
      <c r="F115" s="3">
        <f t="shared" si="4"/>
        <v>5.2631578947368363E-2</v>
      </c>
      <c r="G115" s="3">
        <f t="shared" si="5"/>
        <v>-2.3752969121140222E-3</v>
      </c>
      <c r="H115">
        <f>'Row Data'!P115</f>
        <v>129.9</v>
      </c>
      <c r="I115" s="3">
        <f t="shared" si="6"/>
        <v>-1.0662604722010749E-2</v>
      </c>
      <c r="J115" t="str">
        <f t="shared" si="7"/>
        <v>Pre-COVID</v>
      </c>
    </row>
    <row r="116" spans="1:10" x14ac:dyDescent="0.35">
      <c r="A116" t="str">
        <f>'Row Data'!A116</f>
        <v>Rural</v>
      </c>
      <c r="B116">
        <f>'Row Data'!B116</f>
        <v>2016</v>
      </c>
      <c r="C116" t="str">
        <f>'Row Data'!C116</f>
        <v>March</v>
      </c>
      <c r="D116" s="2">
        <f>DATE(B116,MATCH(C116,{"January","February","March","April","May","June","July","August","September","October","November","December"},0),1)</f>
        <v>42430</v>
      </c>
      <c r="E116">
        <f>'Row Data'!AD116</f>
        <v>128</v>
      </c>
      <c r="F116" s="3">
        <f t="shared" si="4"/>
        <v>5.6977704376548255E-2</v>
      </c>
      <c r="G116" s="3">
        <f t="shared" si="5"/>
        <v>7.8186082877240715E-4</v>
      </c>
      <c r="H116">
        <f>'Row Data'!P116</f>
        <v>130.4</v>
      </c>
      <c r="I116" s="3">
        <f t="shared" si="6"/>
        <v>7.6745970836533672E-4</v>
      </c>
      <c r="J116" t="str">
        <f t="shared" si="7"/>
        <v>Pre-COVID</v>
      </c>
    </row>
    <row r="117" spans="1:10" x14ac:dyDescent="0.35">
      <c r="A117" t="str">
        <f>'Row Data'!A117</f>
        <v>Urban</v>
      </c>
      <c r="B117">
        <f>'Row Data'!B117</f>
        <v>2016</v>
      </c>
      <c r="C117" t="str">
        <f>'Row Data'!C117</f>
        <v>March</v>
      </c>
      <c r="D117" s="2">
        <f>DATE(B117,MATCH(C117,{"January","February","March","April","May","June","July","August","September","October","November","December"},0),1)</f>
        <v>42430</v>
      </c>
      <c r="E117">
        <f>'Row Data'!AD117</f>
        <v>123.8</v>
      </c>
      <c r="F117" s="3">
        <f t="shared" si="4"/>
        <v>3.9462636439966392E-2</v>
      </c>
      <c r="G117" s="3">
        <f t="shared" si="5"/>
        <v>0</v>
      </c>
      <c r="H117">
        <f>'Row Data'!P117</f>
        <v>128.9</v>
      </c>
      <c r="I117" s="3">
        <f t="shared" si="6"/>
        <v>-1.5491866769944407E-3</v>
      </c>
      <c r="J117" t="str">
        <f t="shared" si="7"/>
        <v>Pre-COVID</v>
      </c>
    </row>
    <row r="118" spans="1:10" x14ac:dyDescent="0.35">
      <c r="A118" t="str">
        <f>'Row Data'!A118</f>
        <v>Rural+Urban</v>
      </c>
      <c r="B118">
        <f>'Row Data'!B118</f>
        <v>2016</v>
      </c>
      <c r="C118" t="str">
        <f>'Row Data'!C118</f>
        <v>March</v>
      </c>
      <c r="D118" s="2">
        <f>DATE(B118,MATCH(C118,{"January","February","March","April","May","June","July","August","September","October","November","December"},0),1)</f>
        <v>42430</v>
      </c>
      <c r="E118">
        <f>'Row Data'!AD118</f>
        <v>126</v>
      </c>
      <c r="F118" s="3">
        <f t="shared" si="4"/>
        <v>4.8252911813643884E-2</v>
      </c>
      <c r="G118" s="3">
        <f t="shared" si="5"/>
        <v>0</v>
      </c>
      <c r="H118">
        <f>'Row Data'!P118</f>
        <v>129.80000000000001</v>
      </c>
      <c r="I118" s="3">
        <f t="shared" si="6"/>
        <v>-7.698229407235857E-4</v>
      </c>
      <c r="J118" t="str">
        <f t="shared" si="7"/>
        <v>Pre-COVID</v>
      </c>
    </row>
    <row r="119" spans="1:10" x14ac:dyDescent="0.35">
      <c r="A119" t="str">
        <f>'Row Data'!A119</f>
        <v>Rural</v>
      </c>
      <c r="B119">
        <f>'Row Data'!B119</f>
        <v>2016</v>
      </c>
      <c r="C119" t="str">
        <f>'Row Data'!C119</f>
        <v>April</v>
      </c>
      <c r="D119" s="2">
        <f>DATE(B119,MATCH(C119,{"January","February","March","April","May","June","July","August","September","October","November","December"},0),1)</f>
        <v>42461</v>
      </c>
      <c r="E119">
        <f>'Row Data'!AD119</f>
        <v>129</v>
      </c>
      <c r="F119" s="3">
        <f t="shared" si="4"/>
        <v>6.1728395061728447E-2</v>
      </c>
      <c r="G119" s="3">
        <f t="shared" si="5"/>
        <v>7.8125E-3</v>
      </c>
      <c r="H119">
        <f>'Row Data'!P119</f>
        <v>131.80000000000001</v>
      </c>
      <c r="I119" s="3">
        <f t="shared" si="6"/>
        <v>1.0736196319018454E-2</v>
      </c>
      <c r="J119" t="str">
        <f t="shared" si="7"/>
        <v>Pre-COVID</v>
      </c>
    </row>
    <row r="120" spans="1:10" x14ac:dyDescent="0.35">
      <c r="A120" t="str">
        <f>'Row Data'!A120</f>
        <v>Urban</v>
      </c>
      <c r="B120">
        <f>'Row Data'!B120</f>
        <v>2016</v>
      </c>
      <c r="C120" t="str">
        <f>'Row Data'!C120</f>
        <v>April</v>
      </c>
      <c r="D120" s="2">
        <f>DATE(B120,MATCH(C120,{"January","February","March","April","May","June","July","August","September","October","November","December"},0),1)</f>
        <v>42461</v>
      </c>
      <c r="E120">
        <f>'Row Data'!AD120</f>
        <v>125.3</v>
      </c>
      <c r="F120" s="3">
        <f t="shared" si="4"/>
        <v>4.6783625730994149E-2</v>
      </c>
      <c r="G120" s="3">
        <f t="shared" si="5"/>
        <v>1.2116316639741553E-2</v>
      </c>
      <c r="H120">
        <f>'Row Data'!P120</f>
        <v>131.80000000000001</v>
      </c>
      <c r="I120" s="3">
        <f t="shared" si="6"/>
        <v>2.2498060512024853E-2</v>
      </c>
      <c r="J120" t="str">
        <f t="shared" si="7"/>
        <v>Pre-COVID</v>
      </c>
    </row>
    <row r="121" spans="1:10" x14ac:dyDescent="0.35">
      <c r="A121" t="str">
        <f>'Row Data'!A121</f>
        <v>Rural+Urban</v>
      </c>
      <c r="B121">
        <f>'Row Data'!B121</f>
        <v>2016</v>
      </c>
      <c r="C121" t="str">
        <f>'Row Data'!C121</f>
        <v>April</v>
      </c>
      <c r="D121" s="2">
        <f>DATE(B121,MATCH(C121,{"January","February","March","April","May","June","July","August","September","October","November","December"},0),1)</f>
        <v>42461</v>
      </c>
      <c r="E121">
        <f>'Row Data'!AD121</f>
        <v>127.3</v>
      </c>
      <c r="F121" s="3">
        <f t="shared" si="4"/>
        <v>5.468102734051361E-2</v>
      </c>
      <c r="G121" s="3">
        <f t="shared" si="5"/>
        <v>1.0317460317460281E-2</v>
      </c>
      <c r="H121">
        <f>'Row Data'!P121</f>
        <v>131.80000000000001</v>
      </c>
      <c r="I121" s="3">
        <f t="shared" si="6"/>
        <v>1.5408320493066174E-2</v>
      </c>
      <c r="J121" t="str">
        <f t="shared" si="7"/>
        <v>Pre-COVID</v>
      </c>
    </row>
    <row r="122" spans="1:10" x14ac:dyDescent="0.35">
      <c r="A122" t="str">
        <f>'Row Data'!A122</f>
        <v>Rural</v>
      </c>
      <c r="B122">
        <f>'Row Data'!B122</f>
        <v>2016</v>
      </c>
      <c r="C122" t="str">
        <f>'Row Data'!C122</f>
        <v>May</v>
      </c>
      <c r="D122" s="2">
        <f>DATE(B122,MATCH(C122,{"January","February","March","April","May","June","July","August","September","October","November","December"},0),1)</f>
        <v>42491</v>
      </c>
      <c r="E122">
        <f>'Row Data'!AD122</f>
        <v>130.30000000000001</v>
      </c>
      <c r="F122" s="3">
        <f t="shared" si="4"/>
        <v>6.4542483660130712E-2</v>
      </c>
      <c r="G122" s="3">
        <f t="shared" si="5"/>
        <v>1.0077519379845024E-2</v>
      </c>
      <c r="H122">
        <f>'Row Data'!P122</f>
        <v>133.6</v>
      </c>
      <c r="I122" s="3">
        <f t="shared" si="6"/>
        <v>1.3657056145675028E-2</v>
      </c>
      <c r="J122" t="str">
        <f t="shared" si="7"/>
        <v>Pre-COVID</v>
      </c>
    </row>
    <row r="123" spans="1:10" x14ac:dyDescent="0.35">
      <c r="A123" t="str">
        <f>'Row Data'!A123</f>
        <v>Urban</v>
      </c>
      <c r="B123">
        <f>'Row Data'!B123</f>
        <v>2016</v>
      </c>
      <c r="C123" t="str">
        <f>'Row Data'!C123</f>
        <v>May</v>
      </c>
      <c r="D123" s="2">
        <f>DATE(B123,MATCH(C123,{"January","February","March","April","May","June","July","August","September","October","November","December"},0),1)</f>
        <v>42491</v>
      </c>
      <c r="E123">
        <f>'Row Data'!AD123</f>
        <v>126.6</v>
      </c>
      <c r="F123" s="3">
        <f t="shared" si="4"/>
        <v>4.8881524440762103E-2</v>
      </c>
      <c r="G123" s="3">
        <f t="shared" si="5"/>
        <v>1.0375099760574491E-2</v>
      </c>
      <c r="H123">
        <f>'Row Data'!P123</f>
        <v>134.6</v>
      </c>
      <c r="I123" s="3">
        <f t="shared" si="6"/>
        <v>2.1244309559939278E-2</v>
      </c>
      <c r="J123" t="str">
        <f t="shared" si="7"/>
        <v>Pre-COVID</v>
      </c>
    </row>
    <row r="124" spans="1:10" x14ac:dyDescent="0.35">
      <c r="A124" t="str">
        <f>'Row Data'!A124</f>
        <v>Rural+Urban</v>
      </c>
      <c r="B124">
        <f>'Row Data'!B124</f>
        <v>2016</v>
      </c>
      <c r="C124" t="str">
        <f>'Row Data'!C124</f>
        <v>May</v>
      </c>
      <c r="D124" s="2">
        <f>DATE(B124,MATCH(C124,{"January","February","March","April","May","June","July","August","September","October","November","December"},0),1)</f>
        <v>42491</v>
      </c>
      <c r="E124">
        <f>'Row Data'!AD124</f>
        <v>128.6</v>
      </c>
      <c r="F124" s="3">
        <f t="shared" si="4"/>
        <v>5.7565789473684292E-2</v>
      </c>
      <c r="G124" s="3">
        <f t="shared" si="5"/>
        <v>1.021209740769824E-2</v>
      </c>
      <c r="H124">
        <f>'Row Data'!P124</f>
        <v>134</v>
      </c>
      <c r="I124" s="3">
        <f t="shared" si="6"/>
        <v>1.6691957511380862E-2</v>
      </c>
      <c r="J124" t="str">
        <f t="shared" si="7"/>
        <v>Pre-COVID</v>
      </c>
    </row>
    <row r="125" spans="1:10" x14ac:dyDescent="0.35">
      <c r="A125" t="str">
        <f>'Row Data'!A125</f>
        <v>Rural</v>
      </c>
      <c r="B125">
        <f>'Row Data'!B125</f>
        <v>2016</v>
      </c>
      <c r="C125" t="str">
        <f>'Row Data'!C125</f>
        <v>June</v>
      </c>
      <c r="D125" s="2">
        <f>DATE(B125,MATCH(C125,{"January","February","March","April","May","June","July","August","September","October","November","December"},0),1)</f>
        <v>42522</v>
      </c>
      <c r="E125">
        <f>'Row Data'!AD125</f>
        <v>131.9</v>
      </c>
      <c r="F125" s="3">
        <f t="shared" si="4"/>
        <v>6.2852538275584235E-2</v>
      </c>
      <c r="G125" s="3">
        <f t="shared" si="5"/>
        <v>1.2279355333844943E-2</v>
      </c>
      <c r="H125">
        <f>'Row Data'!P125</f>
        <v>136</v>
      </c>
      <c r="I125" s="3">
        <f t="shared" si="6"/>
        <v>1.7964071856287456E-2</v>
      </c>
      <c r="J125" t="str">
        <f t="shared" si="7"/>
        <v>Pre-COVID</v>
      </c>
    </row>
    <row r="126" spans="1:10" x14ac:dyDescent="0.35">
      <c r="A126" t="str">
        <f>'Row Data'!A126</f>
        <v>Urban</v>
      </c>
      <c r="B126">
        <f>'Row Data'!B126</f>
        <v>2016</v>
      </c>
      <c r="C126" t="str">
        <f>'Row Data'!C126</f>
        <v>June</v>
      </c>
      <c r="D126" s="2">
        <f>DATE(B126,MATCH(C126,{"January","February","March","April","May","June","July","August","September","October","November","December"},0),1)</f>
        <v>42522</v>
      </c>
      <c r="E126">
        <f>'Row Data'!AD126</f>
        <v>128.1</v>
      </c>
      <c r="F126" s="3">
        <f t="shared" si="4"/>
        <v>5.2588331963845381E-2</v>
      </c>
      <c r="G126" s="3">
        <f t="shared" si="5"/>
        <v>1.1848341232227444E-2</v>
      </c>
      <c r="H126">
        <f>'Row Data'!P126</f>
        <v>138.19999999999999</v>
      </c>
      <c r="I126" s="3">
        <f t="shared" si="6"/>
        <v>2.6745913818722045E-2</v>
      </c>
      <c r="J126" t="str">
        <f t="shared" si="7"/>
        <v>Pre-COVID</v>
      </c>
    </row>
    <row r="127" spans="1:10" x14ac:dyDescent="0.35">
      <c r="A127" t="str">
        <f>'Row Data'!A127</f>
        <v>Rural+Urban</v>
      </c>
      <c r="B127">
        <f>'Row Data'!B127</f>
        <v>2016</v>
      </c>
      <c r="C127" t="str">
        <f>'Row Data'!C127</f>
        <v>June</v>
      </c>
      <c r="D127" s="2">
        <f>DATE(B127,MATCH(C127,{"January","February","March","April","May","June","July","August","September","October","November","December"},0),1)</f>
        <v>42522</v>
      </c>
      <c r="E127">
        <f>'Row Data'!AD127</f>
        <v>130.1</v>
      </c>
      <c r="F127" s="3">
        <f t="shared" si="4"/>
        <v>5.7723577235772261E-2</v>
      </c>
      <c r="G127" s="3">
        <f t="shared" si="5"/>
        <v>1.1664074650077794E-2</v>
      </c>
      <c r="H127">
        <f>'Row Data'!P127</f>
        <v>136.80000000000001</v>
      </c>
      <c r="I127" s="3">
        <f t="shared" si="6"/>
        <v>2.0895522388059806E-2</v>
      </c>
      <c r="J127" t="str">
        <f t="shared" si="7"/>
        <v>Pre-COVID</v>
      </c>
    </row>
    <row r="128" spans="1:10" x14ac:dyDescent="0.35">
      <c r="A128" t="str">
        <f>'Row Data'!A128</f>
        <v>Rural</v>
      </c>
      <c r="B128">
        <f>'Row Data'!B128</f>
        <v>2016</v>
      </c>
      <c r="C128" t="str">
        <f>'Row Data'!C128</f>
        <v>July</v>
      </c>
      <c r="D128" s="2">
        <f>DATE(B128,MATCH(C128,{"January","February","March","April","May","June","July","August","September","October","November","December"},0),1)</f>
        <v>42552</v>
      </c>
      <c r="E128">
        <f>'Row Data'!AD128</f>
        <v>133</v>
      </c>
      <c r="F128" s="3">
        <f t="shared" si="4"/>
        <v>6.655974338412185E-2</v>
      </c>
      <c r="G128" s="3">
        <f t="shared" si="5"/>
        <v>8.3396512509477105E-3</v>
      </c>
      <c r="H128">
        <f>'Row Data'!P128</f>
        <v>137.6</v>
      </c>
      <c r="I128" s="3">
        <f t="shared" si="6"/>
        <v>1.1764705882352899E-2</v>
      </c>
      <c r="J128" t="str">
        <f t="shared" si="7"/>
        <v>Pre-COVID</v>
      </c>
    </row>
    <row r="129" spans="1:10" x14ac:dyDescent="0.35">
      <c r="A129" t="str">
        <f>'Row Data'!A129</f>
        <v>Urban</v>
      </c>
      <c r="B129">
        <f>'Row Data'!B129</f>
        <v>2016</v>
      </c>
      <c r="C129" t="str">
        <f>'Row Data'!C129</f>
        <v>July</v>
      </c>
      <c r="D129" s="2">
        <f>DATE(B129,MATCH(C129,{"January","February","March","April","May","June","July","August","September","October","November","December"},0),1)</f>
        <v>42552</v>
      </c>
      <c r="E129">
        <f>'Row Data'!AD129</f>
        <v>129</v>
      </c>
      <c r="F129" s="3">
        <f t="shared" si="4"/>
        <v>5.3921568627451011E-2</v>
      </c>
      <c r="G129" s="3">
        <f t="shared" si="5"/>
        <v>7.0257611241217877E-3</v>
      </c>
      <c r="H129">
        <f>'Row Data'!P129</f>
        <v>139.80000000000001</v>
      </c>
      <c r="I129" s="3">
        <f t="shared" si="6"/>
        <v>1.1577424023154981E-2</v>
      </c>
      <c r="J129" t="str">
        <f t="shared" si="7"/>
        <v>Pre-COVID</v>
      </c>
    </row>
    <row r="130" spans="1:10" x14ac:dyDescent="0.35">
      <c r="A130" t="str">
        <f>'Row Data'!A130</f>
        <v>Rural+Urban</v>
      </c>
      <c r="B130">
        <f>'Row Data'!B130</f>
        <v>2016</v>
      </c>
      <c r="C130" t="str">
        <f>'Row Data'!C130</f>
        <v>July</v>
      </c>
      <c r="D130" s="2">
        <f>DATE(B130,MATCH(C130,{"January","February","March","April","May","June","July","August","September","October","November","December"},0),1)</f>
        <v>42552</v>
      </c>
      <c r="E130">
        <f>'Row Data'!AD130</f>
        <v>131.1</v>
      </c>
      <c r="F130" s="3">
        <f t="shared" ref="F130:F193" si="8">IFERROR(E130/SUMIFS($E:$E,$A:$A,A130,$B:$B,B130-1,$C:$C,C130)-1,"")</f>
        <v>6.0679611650485521E-2</v>
      </c>
      <c r="G130" s="3">
        <f t="shared" ref="G130:G193" si="9">IFERROR(E130/SUMIFS($E:$E,$A:$A,A130,$D:$D,EDATE(D130,-1))-1,"")</f>
        <v>7.6863950807071202E-3</v>
      </c>
      <c r="H130">
        <f>'Row Data'!P130</f>
        <v>138.4</v>
      </c>
      <c r="I130" s="3">
        <f t="shared" ref="I130:I193" si="10">IFERROR(H130/SUMIFS($H:$H,$A:$A,A130,$D:$D,EDATE(D130,-1))-1,"")</f>
        <v>1.1695906432748426E-2</v>
      </c>
      <c r="J130" t="str">
        <f t="shared" ref="J130:J193" si="11">IF(D130&lt;DATE(2020,3,1),"Pre-COVID",IF(D130=DATE(2020,3,1),"COVID Onset / Mar-20",IF(D130&lt;=DATE(2021,12,31),"COVID Period","Post-COVID")))</f>
        <v>Pre-COVID</v>
      </c>
    </row>
    <row r="131" spans="1:10" x14ac:dyDescent="0.35">
      <c r="A131" t="str">
        <f>'Row Data'!A131</f>
        <v>Rural</v>
      </c>
      <c r="B131">
        <f>'Row Data'!B131</f>
        <v>2016</v>
      </c>
      <c r="C131" t="str">
        <f>'Row Data'!C131</f>
        <v>August</v>
      </c>
      <c r="D131" s="2">
        <f>DATE(B131,MATCH(C131,{"January","February","March","April","May","June","July","August","September","October","November","December"},0),1)</f>
        <v>42583</v>
      </c>
      <c r="E131">
        <f>'Row Data'!AD131</f>
        <v>133.5</v>
      </c>
      <c r="F131" s="3">
        <f t="shared" si="8"/>
        <v>5.8683584456780347E-2</v>
      </c>
      <c r="G131" s="3">
        <f t="shared" si="9"/>
        <v>3.759398496240518E-3</v>
      </c>
      <c r="H131">
        <f>'Row Data'!P131</f>
        <v>138</v>
      </c>
      <c r="I131" s="3">
        <f t="shared" si="10"/>
        <v>2.9069767441860517E-3</v>
      </c>
      <c r="J131" t="str">
        <f t="shared" si="11"/>
        <v>Pre-COVID</v>
      </c>
    </row>
    <row r="132" spans="1:10" x14ac:dyDescent="0.35">
      <c r="A132" t="str">
        <f>'Row Data'!A132</f>
        <v>Urban</v>
      </c>
      <c r="B132">
        <f>'Row Data'!B132</f>
        <v>2016</v>
      </c>
      <c r="C132" t="str">
        <f>'Row Data'!C132</f>
        <v>August</v>
      </c>
      <c r="D132" s="2">
        <f>DATE(B132,MATCH(C132,{"January","February","March","April","May","June","July","August","September","October","November","December"},0),1)</f>
        <v>42583</v>
      </c>
      <c r="E132">
        <f>'Row Data'!AD132</f>
        <v>128.4</v>
      </c>
      <c r="F132" s="3">
        <f t="shared" si="8"/>
        <v>4.2207792207792139E-2</v>
      </c>
      <c r="G132" s="3">
        <f t="shared" si="9"/>
        <v>-4.6511627906976605E-3</v>
      </c>
      <c r="H132">
        <f>'Row Data'!P132</f>
        <v>137.6</v>
      </c>
      <c r="I132" s="3">
        <f t="shared" si="10"/>
        <v>-1.5736766809728353E-2</v>
      </c>
      <c r="J132" t="str">
        <f t="shared" si="11"/>
        <v>Pre-COVID</v>
      </c>
    </row>
    <row r="133" spans="1:10" x14ac:dyDescent="0.35">
      <c r="A133" t="str">
        <f>'Row Data'!A133</f>
        <v>Rural+Urban</v>
      </c>
      <c r="B133">
        <f>'Row Data'!B133</f>
        <v>2016</v>
      </c>
      <c r="C133" t="str">
        <f>'Row Data'!C133</f>
        <v>August</v>
      </c>
      <c r="D133" s="2">
        <f>DATE(B133,MATCH(C133,{"January","February","March","April","May","June","July","August","September","October","November","December"},0),1)</f>
        <v>42583</v>
      </c>
      <c r="E133">
        <f>'Row Data'!AD133</f>
        <v>131.1</v>
      </c>
      <c r="F133" s="3">
        <f t="shared" si="8"/>
        <v>5.0480769230769162E-2</v>
      </c>
      <c r="G133" s="3">
        <f t="shared" si="9"/>
        <v>0</v>
      </c>
      <c r="H133">
        <f>'Row Data'!P133</f>
        <v>137.9</v>
      </c>
      <c r="I133" s="3">
        <f t="shared" si="10"/>
        <v>-3.6127167630057855E-3</v>
      </c>
      <c r="J133" t="str">
        <f t="shared" si="11"/>
        <v>Pre-COVID</v>
      </c>
    </row>
    <row r="134" spans="1:10" x14ac:dyDescent="0.35">
      <c r="A134" t="str">
        <f>'Row Data'!A134</f>
        <v>Rural</v>
      </c>
      <c r="B134">
        <f>'Row Data'!B134</f>
        <v>2016</v>
      </c>
      <c r="C134" t="str">
        <f>'Row Data'!C134</f>
        <v>September</v>
      </c>
      <c r="D134" s="2">
        <f>DATE(B134,MATCH(C134,{"January","February","March","April","May","June","July","August","September","October","November","December"},0),1)</f>
        <v>42614</v>
      </c>
      <c r="E134">
        <f>'Row Data'!AD134</f>
        <v>133.4</v>
      </c>
      <c r="F134" s="3">
        <f t="shared" si="8"/>
        <v>5.0393700787401574E-2</v>
      </c>
      <c r="G134" s="3">
        <f t="shared" si="9"/>
        <v>-7.4906367041194244E-4</v>
      </c>
      <c r="H134">
        <f>'Row Data'!P134</f>
        <v>137.19999999999999</v>
      </c>
      <c r="I134" s="3">
        <f t="shared" si="10"/>
        <v>-5.7971014492754769E-3</v>
      </c>
      <c r="J134" t="str">
        <f t="shared" si="11"/>
        <v>Pre-COVID</v>
      </c>
    </row>
    <row r="135" spans="1:10" x14ac:dyDescent="0.35">
      <c r="A135" t="str">
        <f>'Row Data'!A135</f>
        <v>Urban</v>
      </c>
      <c r="B135">
        <f>'Row Data'!B135</f>
        <v>2016</v>
      </c>
      <c r="C135" t="str">
        <f>'Row Data'!C135</f>
        <v>September</v>
      </c>
      <c r="D135" s="2">
        <f>DATE(B135,MATCH(C135,{"January","February","March","April","May","June","July","August","September","October","November","December"},0),1)</f>
        <v>42614</v>
      </c>
      <c r="E135">
        <f>'Row Data'!AD135</f>
        <v>128</v>
      </c>
      <c r="F135" s="3">
        <f t="shared" si="8"/>
        <v>3.6437246963562764E-2</v>
      </c>
      <c r="G135" s="3">
        <f t="shared" si="9"/>
        <v>-3.1152647975077885E-3</v>
      </c>
      <c r="H135">
        <f>'Row Data'!P135</f>
        <v>135.69999999999999</v>
      </c>
      <c r="I135" s="3">
        <f t="shared" si="10"/>
        <v>-1.3808139534883801E-2</v>
      </c>
      <c r="J135" t="str">
        <f t="shared" si="11"/>
        <v>Pre-COVID</v>
      </c>
    </row>
    <row r="136" spans="1:10" x14ac:dyDescent="0.35">
      <c r="A136" t="str">
        <f>'Row Data'!A136</f>
        <v>Rural+Urban</v>
      </c>
      <c r="B136">
        <f>'Row Data'!B136</f>
        <v>2016</v>
      </c>
      <c r="C136" t="str">
        <f>'Row Data'!C136</f>
        <v>September</v>
      </c>
      <c r="D136" s="2">
        <f>DATE(B136,MATCH(C136,{"January","February","March","April","May","June","July","August","September","October","November","December"},0),1)</f>
        <v>42614</v>
      </c>
      <c r="E136">
        <f>'Row Data'!AD136</f>
        <v>130.9</v>
      </c>
      <c r="F136" s="3">
        <f t="shared" si="8"/>
        <v>4.3859649122806932E-2</v>
      </c>
      <c r="G136" s="3">
        <f t="shared" si="9"/>
        <v>-1.5255530129670847E-3</v>
      </c>
      <c r="H136">
        <f>'Row Data'!P136</f>
        <v>136.6</v>
      </c>
      <c r="I136" s="3">
        <f t="shared" si="10"/>
        <v>-9.4271211022480816E-3</v>
      </c>
      <c r="J136" t="str">
        <f t="shared" si="11"/>
        <v>Pre-COVID</v>
      </c>
    </row>
    <row r="137" spans="1:10" x14ac:dyDescent="0.35">
      <c r="A137" t="str">
        <f>'Row Data'!A137</f>
        <v>Rural</v>
      </c>
      <c r="B137">
        <f>'Row Data'!B137</f>
        <v>2016</v>
      </c>
      <c r="C137" t="str">
        <f>'Row Data'!C137</f>
        <v>October</v>
      </c>
      <c r="D137" s="2">
        <f>DATE(B137,MATCH(C137,{"January","February","March","April","May","June","July","August","September","October","November","December"},0),1)</f>
        <v>42644</v>
      </c>
      <c r="E137">
        <f>'Row Data'!AD137</f>
        <v>133.80000000000001</v>
      </c>
      <c r="F137" s="3">
        <f t="shared" si="8"/>
        <v>4.7768206734534191E-2</v>
      </c>
      <c r="G137" s="3">
        <f t="shared" si="9"/>
        <v>2.9985007496251548E-3</v>
      </c>
      <c r="H137">
        <f>'Row Data'!P137</f>
        <v>137.4</v>
      </c>
      <c r="I137" s="3">
        <f t="shared" si="10"/>
        <v>1.4577259475219151E-3</v>
      </c>
      <c r="J137" t="str">
        <f t="shared" si="11"/>
        <v>Pre-COVID</v>
      </c>
    </row>
    <row r="138" spans="1:10" x14ac:dyDescent="0.35">
      <c r="A138" t="str">
        <f>'Row Data'!A138</f>
        <v>Urban</v>
      </c>
      <c r="B138">
        <f>'Row Data'!B138</f>
        <v>2016</v>
      </c>
      <c r="C138" t="str">
        <f>'Row Data'!C138</f>
        <v>October</v>
      </c>
      <c r="D138" s="2">
        <f>DATE(B138,MATCH(C138,{"January","February","March","April","May","June","July","August","September","October","November","December"},0),1)</f>
        <v>42644</v>
      </c>
      <c r="E138">
        <f>'Row Data'!AD138</f>
        <v>128.6</v>
      </c>
      <c r="F138" s="3">
        <f t="shared" si="8"/>
        <v>3.5426731078904927E-2</v>
      </c>
      <c r="G138" s="3">
        <f t="shared" si="9"/>
        <v>4.6874999999999556E-3</v>
      </c>
      <c r="H138">
        <f>'Row Data'!P138</f>
        <v>136.30000000000001</v>
      </c>
      <c r="I138" s="3">
        <f t="shared" si="10"/>
        <v>4.4215180545321697E-3</v>
      </c>
      <c r="J138" t="str">
        <f t="shared" si="11"/>
        <v>Pre-COVID</v>
      </c>
    </row>
    <row r="139" spans="1:10" x14ac:dyDescent="0.35">
      <c r="A139" t="str">
        <f>'Row Data'!A139</f>
        <v>Rural+Urban</v>
      </c>
      <c r="B139">
        <f>'Row Data'!B139</f>
        <v>2016</v>
      </c>
      <c r="C139" t="str">
        <f>'Row Data'!C139</f>
        <v>October</v>
      </c>
      <c r="D139" s="2">
        <f>DATE(B139,MATCH(C139,{"January","February","March","April","May","June","July","August","September","October","November","December"},0),1)</f>
        <v>42644</v>
      </c>
      <c r="E139">
        <f>'Row Data'!AD139</f>
        <v>131.4</v>
      </c>
      <c r="F139" s="3">
        <f t="shared" si="8"/>
        <v>4.2030134813640041E-2</v>
      </c>
      <c r="G139" s="3">
        <f t="shared" si="9"/>
        <v>3.8197097020626902E-3</v>
      </c>
      <c r="H139">
        <f>'Row Data'!P139</f>
        <v>137</v>
      </c>
      <c r="I139" s="3">
        <f t="shared" si="10"/>
        <v>2.9282576866764831E-3</v>
      </c>
      <c r="J139" t="str">
        <f t="shared" si="11"/>
        <v>Pre-COVID</v>
      </c>
    </row>
    <row r="140" spans="1:10" x14ac:dyDescent="0.35">
      <c r="A140" t="str">
        <f>'Row Data'!A140</f>
        <v>Rural</v>
      </c>
      <c r="B140">
        <f>'Row Data'!B140</f>
        <v>2016</v>
      </c>
      <c r="C140" t="str">
        <f>'Row Data'!C140</f>
        <v>November</v>
      </c>
      <c r="D140" s="2">
        <f>DATE(B140,MATCH(C140,{"January","February","March","April","May","June","July","August","September","October","November","December"},0),1)</f>
        <v>42675</v>
      </c>
      <c r="E140">
        <f>'Row Data'!AD140</f>
        <v>133.6</v>
      </c>
      <c r="F140" s="3">
        <f t="shared" si="8"/>
        <v>4.1309431021044229E-2</v>
      </c>
      <c r="G140" s="3">
        <f t="shared" si="9"/>
        <v>-1.494768310911887E-3</v>
      </c>
      <c r="H140">
        <f>'Row Data'!P140</f>
        <v>136.6</v>
      </c>
      <c r="I140" s="3">
        <f t="shared" si="10"/>
        <v>-5.8224163027656983E-3</v>
      </c>
      <c r="J140" t="str">
        <f t="shared" si="11"/>
        <v>Pre-COVID</v>
      </c>
    </row>
    <row r="141" spans="1:10" x14ac:dyDescent="0.35">
      <c r="A141" t="str">
        <f>'Row Data'!A141</f>
        <v>Urban</v>
      </c>
      <c r="B141">
        <f>'Row Data'!B141</f>
        <v>2016</v>
      </c>
      <c r="C141" t="str">
        <f>'Row Data'!C141</f>
        <v>November</v>
      </c>
      <c r="D141" s="2">
        <f>DATE(B141,MATCH(C141,{"January","February","March","April","May","June","July","August","September","October","November","December"},0),1)</f>
        <v>42675</v>
      </c>
      <c r="E141">
        <f>'Row Data'!AD141</f>
        <v>128.5</v>
      </c>
      <c r="F141" s="3">
        <f t="shared" si="8"/>
        <v>3.1300160513643815E-2</v>
      </c>
      <c r="G141" s="3">
        <f t="shared" si="9"/>
        <v>-7.776049766717863E-4</v>
      </c>
      <c r="H141">
        <f>'Row Data'!P141</f>
        <v>135.19999999999999</v>
      </c>
      <c r="I141" s="3">
        <f t="shared" si="10"/>
        <v>-8.0704328686722615E-3</v>
      </c>
      <c r="J141" t="str">
        <f t="shared" si="11"/>
        <v>Pre-COVID</v>
      </c>
    </row>
    <row r="142" spans="1:10" x14ac:dyDescent="0.35">
      <c r="A142" t="str">
        <f>'Row Data'!A142</f>
        <v>Rural+Urban</v>
      </c>
      <c r="B142">
        <f>'Row Data'!B142</f>
        <v>2016</v>
      </c>
      <c r="C142" t="str">
        <f>'Row Data'!C142</f>
        <v>November</v>
      </c>
      <c r="D142" s="2">
        <f>DATE(B142,MATCH(C142,{"January","February","March","April","May","June","July","August","September","October","November","December"},0),1)</f>
        <v>42675</v>
      </c>
      <c r="E142">
        <f>'Row Data'!AD142</f>
        <v>131.19999999999999</v>
      </c>
      <c r="F142" s="3">
        <f t="shared" si="8"/>
        <v>3.6334913112164191E-2</v>
      </c>
      <c r="G142" s="3">
        <f t="shared" si="9"/>
        <v>-1.5220700152208666E-3</v>
      </c>
      <c r="H142">
        <f>'Row Data'!P142</f>
        <v>136.1</v>
      </c>
      <c r="I142" s="3">
        <f t="shared" si="10"/>
        <v>-6.5693430656934559E-3</v>
      </c>
      <c r="J142" t="str">
        <f t="shared" si="11"/>
        <v>Pre-COVID</v>
      </c>
    </row>
    <row r="143" spans="1:10" x14ac:dyDescent="0.35">
      <c r="A143" t="str">
        <f>'Row Data'!A143</f>
        <v>Rural</v>
      </c>
      <c r="B143">
        <f>'Row Data'!B143</f>
        <v>2016</v>
      </c>
      <c r="C143" t="str">
        <f>'Row Data'!C143</f>
        <v>December</v>
      </c>
      <c r="D143" s="2">
        <f>DATE(B143,MATCH(C143,{"January","February","March","April","May","June","July","August","September","October","November","December"},0),1)</f>
        <v>42705</v>
      </c>
      <c r="E143">
        <f>'Row Data'!AD143</f>
        <v>132.80000000000001</v>
      </c>
      <c r="F143" s="3">
        <f t="shared" si="8"/>
        <v>3.8311180609851503E-2</v>
      </c>
      <c r="G143" s="3">
        <f t="shared" si="9"/>
        <v>-5.9880239520956335E-3</v>
      </c>
      <c r="H143">
        <f>'Row Data'!P143</f>
        <v>134.69999999999999</v>
      </c>
      <c r="I143" s="3">
        <f t="shared" si="10"/>
        <v>-1.3909224011713128E-2</v>
      </c>
      <c r="J143" t="str">
        <f t="shared" si="11"/>
        <v>Pre-COVID</v>
      </c>
    </row>
    <row r="144" spans="1:10" x14ac:dyDescent="0.35">
      <c r="A144" t="str">
        <f>'Row Data'!A144</f>
        <v>Urban</v>
      </c>
      <c r="B144">
        <f>'Row Data'!B144</f>
        <v>2016</v>
      </c>
      <c r="C144" t="str">
        <f>'Row Data'!C144</f>
        <v>December</v>
      </c>
      <c r="D144" s="2">
        <f>DATE(B144,MATCH(C144,{"January","February","March","April","May","June","July","August","September","October","November","December"},0),1)</f>
        <v>42705</v>
      </c>
      <c r="E144">
        <f>'Row Data'!AD144</f>
        <v>127.6</v>
      </c>
      <c r="F144" s="3">
        <f t="shared" si="8"/>
        <v>2.9032258064516148E-2</v>
      </c>
      <c r="G144" s="3">
        <f t="shared" si="9"/>
        <v>-7.0038910505837437E-3</v>
      </c>
      <c r="H144">
        <f>'Row Data'!P144</f>
        <v>132.80000000000001</v>
      </c>
      <c r="I144" s="3">
        <f t="shared" si="10"/>
        <v>-1.7751479289940697E-2</v>
      </c>
      <c r="J144" t="str">
        <f t="shared" si="11"/>
        <v>Pre-COVID</v>
      </c>
    </row>
    <row r="145" spans="1:10" x14ac:dyDescent="0.35">
      <c r="A145" t="str">
        <f>'Row Data'!A145</f>
        <v>Rural+Urban</v>
      </c>
      <c r="B145">
        <f>'Row Data'!B145</f>
        <v>2016</v>
      </c>
      <c r="C145" t="str">
        <f>'Row Data'!C145</f>
        <v>December</v>
      </c>
      <c r="D145" s="2">
        <f>DATE(B145,MATCH(C145,{"January","February","March","April","May","June","July","August","September","October","November","December"},0),1)</f>
        <v>42705</v>
      </c>
      <c r="E145">
        <f>'Row Data'!AD145</f>
        <v>130.4</v>
      </c>
      <c r="F145" s="3">
        <f t="shared" si="8"/>
        <v>3.4099920697858943E-2</v>
      </c>
      <c r="G145" s="3">
        <f t="shared" si="9"/>
        <v>-6.0975609756096505E-3</v>
      </c>
      <c r="H145">
        <f>'Row Data'!P145</f>
        <v>134</v>
      </c>
      <c r="I145" s="3">
        <f t="shared" si="10"/>
        <v>-1.5429831006612771E-2</v>
      </c>
      <c r="J145" t="str">
        <f t="shared" si="11"/>
        <v>Pre-COVID</v>
      </c>
    </row>
    <row r="146" spans="1:10" x14ac:dyDescent="0.35">
      <c r="A146" t="str">
        <f>'Row Data'!A146</f>
        <v>Rural</v>
      </c>
      <c r="B146">
        <f>'Row Data'!B146</f>
        <v>2017</v>
      </c>
      <c r="C146" t="str">
        <f>'Row Data'!C146</f>
        <v>January</v>
      </c>
      <c r="D146" s="2">
        <f>DATE(B146,MATCH(C146,{"January","February","March","April","May","June","July","August","September","October","November","December"},0),1)</f>
        <v>42736</v>
      </c>
      <c r="E146">
        <f>'Row Data'!AD146</f>
        <v>132.4</v>
      </c>
      <c r="F146" s="3">
        <f t="shared" si="8"/>
        <v>3.3567525370804097E-2</v>
      </c>
      <c r="G146" s="3">
        <f t="shared" si="9"/>
        <v>-3.0120481927711218E-3</v>
      </c>
      <c r="H146">
        <f>'Row Data'!P146</f>
        <v>133.69999999999999</v>
      </c>
      <c r="I146" s="3">
        <f t="shared" si="10"/>
        <v>-7.4239049740163487E-3</v>
      </c>
      <c r="J146" t="str">
        <f t="shared" si="11"/>
        <v>Pre-COVID</v>
      </c>
    </row>
    <row r="147" spans="1:10" x14ac:dyDescent="0.35">
      <c r="A147" t="str">
        <f>'Row Data'!A147</f>
        <v>Urban</v>
      </c>
      <c r="B147">
        <f>'Row Data'!B147</f>
        <v>2017</v>
      </c>
      <c r="C147" t="str">
        <f>'Row Data'!C147</f>
        <v>January</v>
      </c>
      <c r="D147" s="2">
        <f>DATE(B147,MATCH(C147,{"January","February","March","April","May","June","July","August","September","October","November","December"},0),1)</f>
        <v>42736</v>
      </c>
      <c r="E147">
        <f>'Row Data'!AD147</f>
        <v>127.8</v>
      </c>
      <c r="F147" s="3">
        <f t="shared" si="8"/>
        <v>2.8985507246376718E-2</v>
      </c>
      <c r="G147" s="3">
        <f t="shared" si="9"/>
        <v>1.5673981191222097E-3</v>
      </c>
      <c r="H147">
        <f>'Row Data'!P147</f>
        <v>132</v>
      </c>
      <c r="I147" s="3">
        <f t="shared" si="10"/>
        <v>-6.0240963855422436E-3</v>
      </c>
      <c r="J147" t="str">
        <f t="shared" si="11"/>
        <v>Pre-COVID</v>
      </c>
    </row>
    <row r="148" spans="1:10" x14ac:dyDescent="0.35">
      <c r="A148" t="str">
        <f>'Row Data'!A148</f>
        <v>Rural+Urban</v>
      </c>
      <c r="B148">
        <f>'Row Data'!B148</f>
        <v>2017</v>
      </c>
      <c r="C148" t="str">
        <f>'Row Data'!C148</f>
        <v>January</v>
      </c>
      <c r="D148" s="2">
        <f>DATE(B148,MATCH(C148,{"January","February","March","April","May","June","July","August","September","October","November","December"},0),1)</f>
        <v>42736</v>
      </c>
      <c r="E148">
        <f>'Row Data'!AD148</f>
        <v>130.30000000000001</v>
      </c>
      <c r="F148" s="3">
        <f t="shared" si="8"/>
        <v>3.1670625494853555E-2</v>
      </c>
      <c r="G148" s="3">
        <f t="shared" si="9"/>
        <v>-7.6687116564411184E-4</v>
      </c>
      <c r="H148">
        <f>'Row Data'!P148</f>
        <v>133.1</v>
      </c>
      <c r="I148" s="3">
        <f t="shared" si="10"/>
        <v>-6.7164179104478583E-3</v>
      </c>
      <c r="J148" t="str">
        <f t="shared" si="11"/>
        <v>Pre-COVID</v>
      </c>
    </row>
    <row r="149" spans="1:10" x14ac:dyDescent="0.35">
      <c r="A149" t="str">
        <f>'Row Data'!A149</f>
        <v>Rural</v>
      </c>
      <c r="B149">
        <f>'Row Data'!B149</f>
        <v>2017</v>
      </c>
      <c r="C149" t="str">
        <f>'Row Data'!C149</f>
        <v>February</v>
      </c>
      <c r="D149" s="2">
        <f>DATE(B149,MATCH(C149,{"January","February","March","April","May","June","July","August","September","October","November","December"},0),1)</f>
        <v>42767</v>
      </c>
      <c r="E149">
        <f>'Row Data'!AD149</f>
        <v>132.6</v>
      </c>
      <c r="F149" s="3">
        <f t="shared" si="8"/>
        <v>3.6747458952306467E-2</v>
      </c>
      <c r="G149" s="3">
        <f t="shared" si="9"/>
        <v>1.5105740181267091E-3</v>
      </c>
      <c r="H149">
        <f>'Row Data'!P149</f>
        <v>133.6</v>
      </c>
      <c r="I149" s="3">
        <f t="shared" si="10"/>
        <v>-7.4794315632009667E-4</v>
      </c>
      <c r="J149" t="str">
        <f t="shared" si="11"/>
        <v>Pre-COVID</v>
      </c>
    </row>
    <row r="150" spans="1:10" x14ac:dyDescent="0.35">
      <c r="A150" t="str">
        <f>'Row Data'!A150</f>
        <v>Urban</v>
      </c>
      <c r="B150">
        <f>'Row Data'!B150</f>
        <v>2017</v>
      </c>
      <c r="C150" t="str">
        <f>'Row Data'!C150</f>
        <v>February</v>
      </c>
      <c r="D150" s="2">
        <f>DATE(B150,MATCH(C150,{"January","February","March","April","May","June","July","August","September","October","November","December"},0),1)</f>
        <v>42767</v>
      </c>
      <c r="E150">
        <f>'Row Data'!AD150</f>
        <v>128.19999999999999</v>
      </c>
      <c r="F150" s="3">
        <f t="shared" si="8"/>
        <v>3.5541195476574972E-2</v>
      </c>
      <c r="G150" s="3">
        <f t="shared" si="9"/>
        <v>3.1298904538339389E-3</v>
      </c>
      <c r="H150">
        <f>'Row Data'!P150</f>
        <v>132.1</v>
      </c>
      <c r="I150" s="3">
        <f t="shared" si="10"/>
        <v>7.575757575757347E-4</v>
      </c>
      <c r="J150" t="str">
        <f t="shared" si="11"/>
        <v>Pre-COVID</v>
      </c>
    </row>
    <row r="151" spans="1:10" x14ac:dyDescent="0.35">
      <c r="A151" t="str">
        <f>'Row Data'!A151</f>
        <v>Rural+Urban</v>
      </c>
      <c r="B151">
        <f>'Row Data'!B151</f>
        <v>2017</v>
      </c>
      <c r="C151" t="str">
        <f>'Row Data'!C151</f>
        <v>February</v>
      </c>
      <c r="D151" s="2">
        <f>DATE(B151,MATCH(C151,{"January","February","March","April","May","June","July","August","September","October","November","December"},0),1)</f>
        <v>42767</v>
      </c>
      <c r="E151">
        <f>'Row Data'!AD151</f>
        <v>130.6</v>
      </c>
      <c r="F151" s="3">
        <f t="shared" si="8"/>
        <v>3.6507936507936378E-2</v>
      </c>
      <c r="G151" s="3">
        <f t="shared" si="9"/>
        <v>2.3023791250957881E-3</v>
      </c>
      <c r="H151">
        <f>'Row Data'!P151</f>
        <v>133</v>
      </c>
      <c r="I151" s="3">
        <f t="shared" si="10"/>
        <v>-7.513148009015147E-4</v>
      </c>
      <c r="J151" t="str">
        <f t="shared" si="11"/>
        <v>Pre-COVID</v>
      </c>
    </row>
    <row r="152" spans="1:10" x14ac:dyDescent="0.35">
      <c r="A152" t="str">
        <f>'Row Data'!A152</f>
        <v>Rural</v>
      </c>
      <c r="B152">
        <f>'Row Data'!B152</f>
        <v>2017</v>
      </c>
      <c r="C152" t="str">
        <f>'Row Data'!C152</f>
        <v>March</v>
      </c>
      <c r="D152" s="2">
        <f>DATE(B152,MATCH(C152,{"January","February","March","April","May","June","July","August","September","October","November","December"},0),1)</f>
        <v>42795</v>
      </c>
      <c r="E152">
        <f>'Row Data'!AD152</f>
        <v>132.80000000000001</v>
      </c>
      <c r="F152" s="3">
        <f t="shared" si="8"/>
        <v>3.7500000000000089E-2</v>
      </c>
      <c r="G152" s="3">
        <f t="shared" si="9"/>
        <v>1.5082956259429015E-3</v>
      </c>
      <c r="H152">
        <f>'Row Data'!P152</f>
        <v>133.4</v>
      </c>
      <c r="I152" s="3">
        <f t="shared" si="10"/>
        <v>-1.4970059880238251E-3</v>
      </c>
      <c r="J152" t="str">
        <f t="shared" si="11"/>
        <v>Pre-COVID</v>
      </c>
    </row>
    <row r="153" spans="1:10" x14ac:dyDescent="0.35">
      <c r="A153" t="str">
        <f>'Row Data'!A153</f>
        <v>Urban</v>
      </c>
      <c r="B153">
        <f>'Row Data'!B153</f>
        <v>2017</v>
      </c>
      <c r="C153" t="str">
        <f>'Row Data'!C153</f>
        <v>March</v>
      </c>
      <c r="D153" s="2">
        <f>DATE(B153,MATCH(C153,{"January","February","March","April","May","June","July","August","September","October","November","December"},0),1)</f>
        <v>42795</v>
      </c>
      <c r="E153">
        <f>'Row Data'!AD153</f>
        <v>128.69999999999999</v>
      </c>
      <c r="F153" s="3">
        <f t="shared" si="8"/>
        <v>3.9579967689822304E-2</v>
      </c>
      <c r="G153" s="3">
        <f t="shared" si="9"/>
        <v>3.900156006240163E-3</v>
      </c>
      <c r="H153">
        <f>'Row Data'!P153</f>
        <v>132.6</v>
      </c>
      <c r="I153" s="3">
        <f t="shared" si="10"/>
        <v>3.7850113550341735E-3</v>
      </c>
      <c r="J153" t="str">
        <f t="shared" si="11"/>
        <v>Pre-COVID</v>
      </c>
    </row>
    <row r="154" spans="1:10" x14ac:dyDescent="0.35">
      <c r="A154" t="str">
        <f>'Row Data'!A154</f>
        <v>Rural+Urban</v>
      </c>
      <c r="B154">
        <f>'Row Data'!B154</f>
        <v>2017</v>
      </c>
      <c r="C154" t="str">
        <f>'Row Data'!C154</f>
        <v>March</v>
      </c>
      <c r="D154" s="2">
        <f>DATE(B154,MATCH(C154,{"January","February","March","April","May","June","July","August","September","October","November","December"},0),1)</f>
        <v>42795</v>
      </c>
      <c r="E154">
        <f>'Row Data'!AD154</f>
        <v>130.9</v>
      </c>
      <c r="F154" s="3">
        <f t="shared" si="8"/>
        <v>3.8888888888888973E-2</v>
      </c>
      <c r="G154" s="3">
        <f t="shared" si="9"/>
        <v>2.2970903522205877E-3</v>
      </c>
      <c r="H154">
        <f>'Row Data'!P154</f>
        <v>133.1</v>
      </c>
      <c r="I154" s="3">
        <f t="shared" si="10"/>
        <v>7.518796992480592E-4</v>
      </c>
      <c r="J154" t="str">
        <f t="shared" si="11"/>
        <v>Pre-COVID</v>
      </c>
    </row>
    <row r="155" spans="1:10" x14ac:dyDescent="0.35">
      <c r="A155" t="str">
        <f>'Row Data'!A155</f>
        <v>Rural</v>
      </c>
      <c r="B155">
        <f>'Row Data'!B155</f>
        <v>2017</v>
      </c>
      <c r="C155" t="str">
        <f>'Row Data'!C155</f>
        <v>April</v>
      </c>
      <c r="D155" s="2">
        <f>DATE(B155,MATCH(C155,{"January","February","March","April","May","June","July","August","September","October","November","December"},0),1)</f>
        <v>42826</v>
      </c>
      <c r="E155">
        <f>'Row Data'!AD155</f>
        <v>132.9</v>
      </c>
      <c r="F155" s="3">
        <f t="shared" si="8"/>
        <v>3.0232558139534849E-2</v>
      </c>
      <c r="G155" s="3">
        <f t="shared" si="9"/>
        <v>7.5301204819266943E-4</v>
      </c>
      <c r="H155">
        <f>'Row Data'!P155</f>
        <v>133.5</v>
      </c>
      <c r="I155" s="3">
        <f t="shared" si="10"/>
        <v>7.4962518740617767E-4</v>
      </c>
      <c r="J155" t="str">
        <f t="shared" si="11"/>
        <v>Pre-COVID</v>
      </c>
    </row>
    <row r="156" spans="1:10" x14ac:dyDescent="0.35">
      <c r="A156" t="str">
        <f>'Row Data'!A156</f>
        <v>Urban</v>
      </c>
      <c r="B156">
        <f>'Row Data'!B156</f>
        <v>2017</v>
      </c>
      <c r="C156" t="str">
        <f>'Row Data'!C156</f>
        <v>April</v>
      </c>
      <c r="D156" s="2">
        <f>DATE(B156,MATCH(C156,{"January","February","March","April","May","June","July","August","September","October","November","December"},0),1)</f>
        <v>42826</v>
      </c>
      <c r="E156">
        <f>'Row Data'!AD156</f>
        <v>129.1</v>
      </c>
      <c r="F156" s="3">
        <f t="shared" si="8"/>
        <v>3.0327214684756632E-2</v>
      </c>
      <c r="G156" s="3">
        <f t="shared" si="9"/>
        <v>3.1080031080030768E-3</v>
      </c>
      <c r="H156">
        <f>'Row Data'!P156</f>
        <v>133.4</v>
      </c>
      <c r="I156" s="3">
        <f t="shared" si="10"/>
        <v>6.0331825037707176E-3</v>
      </c>
      <c r="J156" t="str">
        <f t="shared" si="11"/>
        <v>Pre-COVID</v>
      </c>
    </row>
    <row r="157" spans="1:10" x14ac:dyDescent="0.35">
      <c r="A157" t="str">
        <f>'Row Data'!A157</f>
        <v>Rural+Urban</v>
      </c>
      <c r="B157">
        <f>'Row Data'!B157</f>
        <v>2017</v>
      </c>
      <c r="C157" t="str">
        <f>'Row Data'!C157</f>
        <v>April</v>
      </c>
      <c r="D157" s="2">
        <f>DATE(B157,MATCH(C157,{"January","February","March","April","May","June","July","August","September","October","November","December"},0),1)</f>
        <v>42826</v>
      </c>
      <c r="E157">
        <f>'Row Data'!AD157</f>
        <v>131.1</v>
      </c>
      <c r="F157" s="3">
        <f t="shared" si="8"/>
        <v>2.9850746268656803E-2</v>
      </c>
      <c r="G157" s="3">
        <f t="shared" si="9"/>
        <v>1.5278838808250317E-3</v>
      </c>
      <c r="H157">
        <f>'Row Data'!P157</f>
        <v>133.5</v>
      </c>
      <c r="I157" s="3">
        <f t="shared" si="10"/>
        <v>3.0052592036062808E-3</v>
      </c>
      <c r="J157" t="str">
        <f t="shared" si="11"/>
        <v>Pre-COVID</v>
      </c>
    </row>
    <row r="158" spans="1:10" x14ac:dyDescent="0.35">
      <c r="A158" t="str">
        <f>'Row Data'!A158</f>
        <v>Rural</v>
      </c>
      <c r="B158">
        <f>'Row Data'!B158</f>
        <v>2017</v>
      </c>
      <c r="C158" t="str">
        <f>'Row Data'!C158</f>
        <v>May</v>
      </c>
      <c r="D158" s="2">
        <f>DATE(B158,MATCH(C158,{"January","February","March","April","May","June","July","August","September","October","November","December"},0),1)</f>
        <v>42856</v>
      </c>
      <c r="E158">
        <f>'Row Data'!AD158</f>
        <v>133.30000000000001</v>
      </c>
      <c r="F158" s="3">
        <f t="shared" si="8"/>
        <v>2.3023791250959214E-2</v>
      </c>
      <c r="G158" s="3">
        <f t="shared" si="9"/>
        <v>3.0097817908201208E-3</v>
      </c>
      <c r="H158">
        <f>'Row Data'!P158</f>
        <v>133.80000000000001</v>
      </c>
      <c r="I158" s="3">
        <f t="shared" si="10"/>
        <v>2.2471910112360494E-3</v>
      </c>
      <c r="J158" t="str">
        <f t="shared" si="11"/>
        <v>Pre-COVID</v>
      </c>
    </row>
    <row r="159" spans="1:10" x14ac:dyDescent="0.35">
      <c r="A159" t="str">
        <f>'Row Data'!A159</f>
        <v>Urban</v>
      </c>
      <c r="B159">
        <f>'Row Data'!B159</f>
        <v>2017</v>
      </c>
      <c r="C159" t="str">
        <f>'Row Data'!C159</f>
        <v>May</v>
      </c>
      <c r="D159" s="2">
        <f>DATE(B159,MATCH(C159,{"January","February","March","April","May","June","July","August","September","October","November","December"},0),1)</f>
        <v>42856</v>
      </c>
      <c r="E159">
        <f>'Row Data'!AD159</f>
        <v>129.30000000000001</v>
      </c>
      <c r="F159" s="3">
        <f t="shared" si="8"/>
        <v>2.1327014218009532E-2</v>
      </c>
      <c r="G159" s="3">
        <f t="shared" si="9"/>
        <v>1.5491866769947737E-3</v>
      </c>
      <c r="H159">
        <f>'Row Data'!P159</f>
        <v>133.6</v>
      </c>
      <c r="I159" s="3">
        <f t="shared" si="10"/>
        <v>1.4992503748125774E-3</v>
      </c>
      <c r="J159" t="str">
        <f t="shared" si="11"/>
        <v>Pre-COVID</v>
      </c>
    </row>
    <row r="160" spans="1:10" x14ac:dyDescent="0.35">
      <c r="A160" t="str">
        <f>'Row Data'!A160</f>
        <v>Rural+Urban</v>
      </c>
      <c r="B160">
        <f>'Row Data'!B160</f>
        <v>2017</v>
      </c>
      <c r="C160" t="str">
        <f>'Row Data'!C160</f>
        <v>May</v>
      </c>
      <c r="D160" s="2">
        <f>DATE(B160,MATCH(C160,{"January","February","March","April","May","June","July","August","September","October","November","December"},0),1)</f>
        <v>42856</v>
      </c>
      <c r="E160">
        <f>'Row Data'!AD160</f>
        <v>131.4</v>
      </c>
      <c r="F160" s="3">
        <f t="shared" si="8"/>
        <v>2.1772939346812015E-2</v>
      </c>
      <c r="G160" s="3">
        <f t="shared" si="9"/>
        <v>2.2883295194509046E-3</v>
      </c>
      <c r="H160">
        <f>'Row Data'!P160</f>
        <v>133.69999999999999</v>
      </c>
      <c r="I160" s="3">
        <f t="shared" si="10"/>
        <v>1.4981273408238849E-3</v>
      </c>
      <c r="J160" t="str">
        <f t="shared" si="11"/>
        <v>Pre-COVID</v>
      </c>
    </row>
    <row r="161" spans="1:10" x14ac:dyDescent="0.35">
      <c r="A161" t="str">
        <f>'Row Data'!A161</f>
        <v>Rural</v>
      </c>
      <c r="B161">
        <f>'Row Data'!B161</f>
        <v>2017</v>
      </c>
      <c r="C161" t="str">
        <f>'Row Data'!C161</f>
        <v>June</v>
      </c>
      <c r="D161" s="2">
        <f>DATE(B161,MATCH(C161,{"January","February","March","April","May","June","July","August","September","October","November","December"},0),1)</f>
        <v>42887</v>
      </c>
      <c r="E161">
        <f>'Row Data'!AD161</f>
        <v>133.9</v>
      </c>
      <c r="F161" s="3">
        <f t="shared" si="8"/>
        <v>1.5163002274450443E-2</v>
      </c>
      <c r="G161" s="3">
        <f t="shared" si="9"/>
        <v>4.5011252813202951E-3</v>
      </c>
      <c r="H161">
        <f>'Row Data'!P161</f>
        <v>134.9</v>
      </c>
      <c r="I161" s="3">
        <f t="shared" si="10"/>
        <v>8.2212257100149344E-3</v>
      </c>
      <c r="J161" t="str">
        <f t="shared" si="11"/>
        <v>Pre-COVID</v>
      </c>
    </row>
    <row r="162" spans="1:10" x14ac:dyDescent="0.35">
      <c r="A162" t="str">
        <f>'Row Data'!A162</f>
        <v>Urban</v>
      </c>
      <c r="B162">
        <f>'Row Data'!B162</f>
        <v>2017</v>
      </c>
      <c r="C162" t="str">
        <f>'Row Data'!C162</f>
        <v>June</v>
      </c>
      <c r="D162" s="2">
        <f>DATE(B162,MATCH(C162,{"January","February","March","April","May","June","July","August","September","October","November","December"},0),1)</f>
        <v>42887</v>
      </c>
      <c r="E162">
        <f>'Row Data'!AD162</f>
        <v>129.9</v>
      </c>
      <c r="F162" s="3">
        <f t="shared" si="8"/>
        <v>1.4051522248243575E-2</v>
      </c>
      <c r="G162" s="3">
        <f t="shared" si="9"/>
        <v>4.6403712296982924E-3</v>
      </c>
      <c r="H162">
        <f>'Row Data'!P162</f>
        <v>135.69999999999999</v>
      </c>
      <c r="I162" s="3">
        <f t="shared" si="10"/>
        <v>1.5718562874251552E-2</v>
      </c>
      <c r="J162" t="str">
        <f t="shared" si="11"/>
        <v>Pre-COVID</v>
      </c>
    </row>
    <row r="163" spans="1:10" x14ac:dyDescent="0.35">
      <c r="A163" t="str">
        <f>'Row Data'!A163</f>
        <v>Rural+Urban</v>
      </c>
      <c r="B163">
        <f>'Row Data'!B163</f>
        <v>2017</v>
      </c>
      <c r="C163" t="str">
        <f>'Row Data'!C163</f>
        <v>June</v>
      </c>
      <c r="D163" s="2">
        <f>DATE(B163,MATCH(C163,{"January","February","March","April","May","June","July","August","September","October","November","December"},0),1)</f>
        <v>42887</v>
      </c>
      <c r="E163">
        <f>'Row Data'!AD163</f>
        <v>132</v>
      </c>
      <c r="F163" s="3">
        <f t="shared" si="8"/>
        <v>1.4604150653343639E-2</v>
      </c>
      <c r="G163" s="3">
        <f t="shared" si="9"/>
        <v>4.5662100456620447E-3</v>
      </c>
      <c r="H163">
        <f>'Row Data'!P163</f>
        <v>135.19999999999999</v>
      </c>
      <c r="I163" s="3">
        <f t="shared" si="10"/>
        <v>1.1219147344801783E-2</v>
      </c>
      <c r="J163" t="str">
        <f t="shared" si="11"/>
        <v>Pre-COVID</v>
      </c>
    </row>
    <row r="164" spans="1:10" x14ac:dyDescent="0.35">
      <c r="A164" t="str">
        <f>'Row Data'!A164</f>
        <v>Rural</v>
      </c>
      <c r="B164">
        <f>'Row Data'!B164</f>
        <v>2017</v>
      </c>
      <c r="C164" t="str">
        <f>'Row Data'!C164</f>
        <v>July</v>
      </c>
      <c r="D164" s="2">
        <f>DATE(B164,MATCH(C164,{"January","February","March","April","May","June","July","August","September","October","November","December"},0),1)</f>
        <v>42917</v>
      </c>
      <c r="E164">
        <f>'Row Data'!AD164</f>
        <v>136.19999999999999</v>
      </c>
      <c r="F164" s="3">
        <f t="shared" si="8"/>
        <v>2.4060150375939671E-2</v>
      </c>
      <c r="G164" s="3">
        <f t="shared" si="9"/>
        <v>1.7176997759521972E-2</v>
      </c>
      <c r="H164">
        <f>'Row Data'!P164</f>
        <v>138.5</v>
      </c>
      <c r="I164" s="3">
        <f t="shared" si="10"/>
        <v>2.6686434395848835E-2</v>
      </c>
      <c r="J164" t="str">
        <f t="shared" si="11"/>
        <v>Pre-COVID</v>
      </c>
    </row>
    <row r="165" spans="1:10" x14ac:dyDescent="0.35">
      <c r="A165" t="str">
        <f>'Row Data'!A165</f>
        <v>Urban</v>
      </c>
      <c r="B165">
        <f>'Row Data'!B165</f>
        <v>2017</v>
      </c>
      <c r="C165" t="str">
        <f>'Row Data'!C165</f>
        <v>July</v>
      </c>
      <c r="D165" s="2">
        <f>DATE(B165,MATCH(C165,{"January","February","March","April","May","June","July","August","September","October","November","December"},0),1)</f>
        <v>42917</v>
      </c>
      <c r="E165">
        <f>'Row Data'!AD165</f>
        <v>131.80000000000001</v>
      </c>
      <c r="F165" s="3">
        <f t="shared" si="8"/>
        <v>2.170542635658923E-2</v>
      </c>
      <c r="G165" s="3">
        <f t="shared" si="9"/>
        <v>1.4626635873749017E-2</v>
      </c>
      <c r="H165">
        <f>'Row Data'!P165</f>
        <v>139.80000000000001</v>
      </c>
      <c r="I165" s="3">
        <f t="shared" si="10"/>
        <v>3.0213706705969123E-2</v>
      </c>
      <c r="J165" t="str">
        <f t="shared" si="11"/>
        <v>Pre-COVID</v>
      </c>
    </row>
    <row r="166" spans="1:10" x14ac:dyDescent="0.35">
      <c r="A166" t="str">
        <f>'Row Data'!A166</f>
        <v>Rural+Urban</v>
      </c>
      <c r="B166">
        <f>'Row Data'!B166</f>
        <v>2017</v>
      </c>
      <c r="C166" t="str">
        <f>'Row Data'!C166</f>
        <v>July</v>
      </c>
      <c r="D166" s="2">
        <f>DATE(B166,MATCH(C166,{"January","February","March","April","May","June","July","August","September","October","November","December"},0),1)</f>
        <v>42917</v>
      </c>
      <c r="E166">
        <f>'Row Data'!AD166</f>
        <v>134.19999999999999</v>
      </c>
      <c r="F166" s="3">
        <f t="shared" si="8"/>
        <v>2.3646071700991644E-2</v>
      </c>
      <c r="G166" s="3">
        <f t="shared" si="9"/>
        <v>1.6666666666666607E-2</v>
      </c>
      <c r="H166">
        <f>'Row Data'!P166</f>
        <v>139</v>
      </c>
      <c r="I166" s="3">
        <f t="shared" si="10"/>
        <v>2.8106508875739733E-2</v>
      </c>
      <c r="J166" t="str">
        <f t="shared" si="11"/>
        <v>Pre-COVID</v>
      </c>
    </row>
    <row r="167" spans="1:10" x14ac:dyDescent="0.35">
      <c r="A167" t="str">
        <f>'Row Data'!A167</f>
        <v>Rural</v>
      </c>
      <c r="B167">
        <f>'Row Data'!B167</f>
        <v>2017</v>
      </c>
      <c r="C167" t="str">
        <f>'Row Data'!C167</f>
        <v>August</v>
      </c>
      <c r="D167" s="2">
        <f>DATE(B167,MATCH(C167,{"January","February","March","April","May","June","July","August","September","October","November","December"},0),1)</f>
        <v>42948</v>
      </c>
      <c r="E167">
        <f>'Row Data'!AD167</f>
        <v>137.80000000000001</v>
      </c>
      <c r="F167" s="3">
        <f t="shared" si="8"/>
        <v>3.2209737827715523E-2</v>
      </c>
      <c r="G167" s="3">
        <f t="shared" si="9"/>
        <v>1.1747430249632984E-2</v>
      </c>
      <c r="H167">
        <f>'Row Data'!P167</f>
        <v>140.6</v>
      </c>
      <c r="I167" s="3">
        <f t="shared" si="10"/>
        <v>1.5162454873646203E-2</v>
      </c>
      <c r="J167" t="str">
        <f t="shared" si="11"/>
        <v>Pre-COVID</v>
      </c>
    </row>
    <row r="168" spans="1:10" x14ac:dyDescent="0.35">
      <c r="A168" t="str">
        <f>'Row Data'!A168</f>
        <v>Urban</v>
      </c>
      <c r="B168">
        <f>'Row Data'!B168</f>
        <v>2017</v>
      </c>
      <c r="C168" t="str">
        <f>'Row Data'!C168</f>
        <v>August</v>
      </c>
      <c r="D168" s="2">
        <f>DATE(B168,MATCH(C168,{"January","February","March","April","May","June","July","August","September","October","November","December"},0),1)</f>
        <v>42948</v>
      </c>
      <c r="E168">
        <f>'Row Data'!AD168</f>
        <v>132.69999999999999</v>
      </c>
      <c r="F168" s="3">
        <f t="shared" si="8"/>
        <v>3.3489096573208643E-2</v>
      </c>
      <c r="G168" s="3">
        <f t="shared" si="9"/>
        <v>6.8285280728375142E-3</v>
      </c>
      <c r="H168">
        <f>'Row Data'!P168</f>
        <v>140.5</v>
      </c>
      <c r="I168" s="3">
        <f t="shared" si="10"/>
        <v>5.0071530758224458E-3</v>
      </c>
      <c r="J168" t="str">
        <f t="shared" si="11"/>
        <v>Pre-COVID</v>
      </c>
    </row>
    <row r="169" spans="1:10" x14ac:dyDescent="0.35">
      <c r="A169" t="str">
        <f>'Row Data'!A169</f>
        <v>Rural+Urban</v>
      </c>
      <c r="B169">
        <f>'Row Data'!B169</f>
        <v>2017</v>
      </c>
      <c r="C169" t="str">
        <f>'Row Data'!C169</f>
        <v>August</v>
      </c>
      <c r="D169" s="2">
        <f>DATE(B169,MATCH(C169,{"January","February","March","April","May","June","July","August","September","October","November","December"},0),1)</f>
        <v>42948</v>
      </c>
      <c r="E169">
        <f>'Row Data'!AD169</f>
        <v>135.4</v>
      </c>
      <c r="F169" s="3">
        <f t="shared" si="8"/>
        <v>3.2799389778794819E-2</v>
      </c>
      <c r="G169" s="3">
        <f t="shared" si="9"/>
        <v>8.941877794336861E-3</v>
      </c>
      <c r="H169">
        <f>'Row Data'!P169</f>
        <v>140.6</v>
      </c>
      <c r="I169" s="3">
        <f t="shared" si="10"/>
        <v>1.1510791366906359E-2</v>
      </c>
      <c r="J169" t="str">
        <f t="shared" si="11"/>
        <v>Pre-COVID</v>
      </c>
    </row>
    <row r="170" spans="1:10" x14ac:dyDescent="0.35">
      <c r="A170" t="str">
        <f>'Row Data'!A170</f>
        <v>Rural</v>
      </c>
      <c r="B170">
        <f>'Row Data'!B170</f>
        <v>2017</v>
      </c>
      <c r="C170" t="str">
        <f>'Row Data'!C170</f>
        <v>September</v>
      </c>
      <c r="D170" s="2">
        <f>DATE(B170,MATCH(C170,{"January","February","March","April","May","June","July","August","September","October","November","December"},0),1)</f>
        <v>42979</v>
      </c>
      <c r="E170">
        <f>'Row Data'!AD170</f>
        <v>137.6</v>
      </c>
      <c r="F170" s="3">
        <f t="shared" si="8"/>
        <v>3.1484257871064347E-2</v>
      </c>
      <c r="G170" s="3">
        <f t="shared" si="9"/>
        <v>-1.4513788098694524E-3</v>
      </c>
      <c r="H170">
        <f>'Row Data'!P170</f>
        <v>139.6</v>
      </c>
      <c r="I170" s="3">
        <f t="shared" si="10"/>
        <v>-7.1123755334281391E-3</v>
      </c>
      <c r="J170" t="str">
        <f t="shared" si="11"/>
        <v>Pre-COVID</v>
      </c>
    </row>
    <row r="171" spans="1:10" x14ac:dyDescent="0.35">
      <c r="A171" t="str">
        <f>'Row Data'!A171</f>
        <v>Urban</v>
      </c>
      <c r="B171">
        <f>'Row Data'!B171</f>
        <v>2017</v>
      </c>
      <c r="C171" t="str">
        <f>'Row Data'!C171</f>
        <v>September</v>
      </c>
      <c r="D171" s="2">
        <f>DATE(B171,MATCH(C171,{"January","February","March","April","May","June","July","August","September","October","November","December"},0),1)</f>
        <v>42979</v>
      </c>
      <c r="E171">
        <f>'Row Data'!AD171</f>
        <v>132.4</v>
      </c>
      <c r="F171" s="3">
        <f t="shared" si="8"/>
        <v>3.4375000000000044E-2</v>
      </c>
      <c r="G171" s="3">
        <f t="shared" si="9"/>
        <v>-2.2607385079124187E-3</v>
      </c>
      <c r="H171">
        <f>'Row Data'!P171</f>
        <v>138</v>
      </c>
      <c r="I171" s="3">
        <f t="shared" si="10"/>
        <v>-1.7793594306049876E-2</v>
      </c>
      <c r="J171" t="str">
        <f t="shared" si="11"/>
        <v>Pre-COVID</v>
      </c>
    </row>
    <row r="172" spans="1:10" x14ac:dyDescent="0.35">
      <c r="A172" t="str">
        <f>'Row Data'!A172</f>
        <v>Rural+Urban</v>
      </c>
      <c r="B172">
        <f>'Row Data'!B172</f>
        <v>2017</v>
      </c>
      <c r="C172" t="str">
        <f>'Row Data'!C172</f>
        <v>September</v>
      </c>
      <c r="D172" s="2">
        <f>DATE(B172,MATCH(C172,{"January","February","March","April","May","June","July","August","September","October","November","December"},0),1)</f>
        <v>42979</v>
      </c>
      <c r="E172">
        <f>'Row Data'!AD172</f>
        <v>135.19999999999999</v>
      </c>
      <c r="F172" s="3">
        <f t="shared" si="8"/>
        <v>3.2849503437738514E-2</v>
      </c>
      <c r="G172" s="3">
        <f t="shared" si="9"/>
        <v>-1.477104874446189E-3</v>
      </c>
      <c r="H172">
        <f>'Row Data'!P172</f>
        <v>139</v>
      </c>
      <c r="I172" s="3">
        <f t="shared" si="10"/>
        <v>-1.1379800853485E-2</v>
      </c>
      <c r="J172" t="str">
        <f t="shared" si="11"/>
        <v>Pre-COVID</v>
      </c>
    </row>
    <row r="173" spans="1:10" x14ac:dyDescent="0.35">
      <c r="A173" t="str">
        <f>'Row Data'!A173</f>
        <v>Rural</v>
      </c>
      <c r="B173">
        <f>'Row Data'!B173</f>
        <v>2017</v>
      </c>
      <c r="C173" t="str">
        <f>'Row Data'!C173</f>
        <v>October</v>
      </c>
      <c r="D173" s="2">
        <f>DATE(B173,MATCH(C173,{"January","February","March","April","May","June","July","August","September","October","November","December"},0),1)</f>
        <v>43009</v>
      </c>
      <c r="E173">
        <f>'Row Data'!AD173</f>
        <v>138.30000000000001</v>
      </c>
      <c r="F173" s="3">
        <f t="shared" si="8"/>
        <v>3.3632286995515681E-2</v>
      </c>
      <c r="G173" s="3">
        <f t="shared" si="9"/>
        <v>5.087209302325757E-3</v>
      </c>
      <c r="H173">
        <f>'Row Data'!P173</f>
        <v>140.4</v>
      </c>
      <c r="I173" s="3">
        <f t="shared" si="10"/>
        <v>5.7306590257879542E-3</v>
      </c>
      <c r="J173" t="str">
        <f t="shared" si="11"/>
        <v>Pre-COVID</v>
      </c>
    </row>
    <row r="174" spans="1:10" x14ac:dyDescent="0.35">
      <c r="A174" t="str">
        <f>'Row Data'!A174</f>
        <v>Urban</v>
      </c>
      <c r="B174">
        <f>'Row Data'!B174</f>
        <v>2017</v>
      </c>
      <c r="C174" t="str">
        <f>'Row Data'!C174</f>
        <v>October</v>
      </c>
      <c r="D174" s="2">
        <f>DATE(B174,MATCH(C174,{"January","February","March","April","May","June","July","August","September","October","November","December"},0),1)</f>
        <v>43009</v>
      </c>
      <c r="E174">
        <f>'Row Data'!AD174</f>
        <v>133.5</v>
      </c>
      <c r="F174" s="3">
        <f t="shared" si="8"/>
        <v>3.8102643856920748E-2</v>
      </c>
      <c r="G174" s="3">
        <f t="shared" si="9"/>
        <v>8.3081570996978993E-3</v>
      </c>
      <c r="H174">
        <f>'Row Data'!P174</f>
        <v>139.69999999999999</v>
      </c>
      <c r="I174" s="3">
        <f t="shared" si="10"/>
        <v>1.2318840579710111E-2</v>
      </c>
      <c r="J174" t="str">
        <f t="shared" si="11"/>
        <v>Pre-COVID</v>
      </c>
    </row>
    <row r="175" spans="1:10" x14ac:dyDescent="0.35">
      <c r="A175" t="str">
        <f>'Row Data'!A175</f>
        <v>Rural+Urban</v>
      </c>
      <c r="B175">
        <f>'Row Data'!B175</f>
        <v>2017</v>
      </c>
      <c r="C175" t="str">
        <f>'Row Data'!C175</f>
        <v>October</v>
      </c>
      <c r="D175" s="2">
        <f>DATE(B175,MATCH(C175,{"January","February","March","April","May","June","July","August","September","October","November","December"},0),1)</f>
        <v>43009</v>
      </c>
      <c r="E175">
        <f>'Row Data'!AD175</f>
        <v>136.1</v>
      </c>
      <c r="F175" s="3">
        <f t="shared" si="8"/>
        <v>3.5768645357686424E-2</v>
      </c>
      <c r="G175" s="3">
        <f t="shared" si="9"/>
        <v>6.6568047337278724E-3</v>
      </c>
      <c r="H175">
        <f>'Row Data'!P175</f>
        <v>140.1</v>
      </c>
      <c r="I175" s="3">
        <f t="shared" si="10"/>
        <v>7.9136690647481078E-3</v>
      </c>
      <c r="J175" t="str">
        <f t="shared" si="11"/>
        <v>Pre-COVID</v>
      </c>
    </row>
    <row r="176" spans="1:10" x14ac:dyDescent="0.35">
      <c r="A176" t="str">
        <f>'Row Data'!A176</f>
        <v>Rural</v>
      </c>
      <c r="B176">
        <f>'Row Data'!B176</f>
        <v>2017</v>
      </c>
      <c r="C176" t="str">
        <f>'Row Data'!C176</f>
        <v>November</v>
      </c>
      <c r="D176" s="2">
        <f>DATE(B176,MATCH(C176,{"January","February","March","April","May","June","July","August","September","October","November","December"},0),1)</f>
        <v>43040</v>
      </c>
      <c r="E176">
        <f>'Row Data'!AD176</f>
        <v>140</v>
      </c>
      <c r="F176" s="3">
        <f t="shared" si="8"/>
        <v>4.7904191616766401E-2</v>
      </c>
      <c r="G176" s="3">
        <f t="shared" si="9"/>
        <v>1.229211858279089E-2</v>
      </c>
      <c r="H176">
        <f>'Row Data'!P176</f>
        <v>142.4</v>
      </c>
      <c r="I176" s="3">
        <f t="shared" si="10"/>
        <v>1.4245014245014342E-2</v>
      </c>
      <c r="J176" t="str">
        <f t="shared" si="11"/>
        <v>Pre-COVID</v>
      </c>
    </row>
    <row r="177" spans="1:10" x14ac:dyDescent="0.35">
      <c r="A177" t="str">
        <f>'Row Data'!A177</f>
        <v>Urban</v>
      </c>
      <c r="B177">
        <f>'Row Data'!B177</f>
        <v>2017</v>
      </c>
      <c r="C177" t="str">
        <f>'Row Data'!C177</f>
        <v>November</v>
      </c>
      <c r="D177" s="2">
        <f>DATE(B177,MATCH(C177,{"January","February","March","April","May","June","July","August","September","October","November","December"},0),1)</f>
        <v>43040</v>
      </c>
      <c r="E177">
        <f>'Row Data'!AD177</f>
        <v>134.80000000000001</v>
      </c>
      <c r="F177" s="3">
        <f t="shared" si="8"/>
        <v>4.9027237354085651E-2</v>
      </c>
      <c r="G177" s="3">
        <f t="shared" si="9"/>
        <v>9.7378277153559178E-3</v>
      </c>
      <c r="H177">
        <f>'Row Data'!P177</f>
        <v>141.5</v>
      </c>
      <c r="I177" s="3">
        <f t="shared" si="10"/>
        <v>1.2884753042233354E-2</v>
      </c>
      <c r="J177" t="str">
        <f t="shared" si="11"/>
        <v>Pre-COVID</v>
      </c>
    </row>
    <row r="178" spans="1:10" x14ac:dyDescent="0.35">
      <c r="A178" t="str">
        <f>'Row Data'!A178</f>
        <v>Rural+Urban</v>
      </c>
      <c r="B178">
        <f>'Row Data'!B178</f>
        <v>2017</v>
      </c>
      <c r="C178" t="str">
        <f>'Row Data'!C178</f>
        <v>November</v>
      </c>
      <c r="D178" s="2">
        <f>DATE(B178,MATCH(C178,{"January","February","March","April","May","June","July","August","September","October","November","December"},0),1)</f>
        <v>43040</v>
      </c>
      <c r="E178">
        <f>'Row Data'!AD178</f>
        <v>137.6</v>
      </c>
      <c r="F178" s="3">
        <f t="shared" si="8"/>
        <v>4.8780487804878092E-2</v>
      </c>
      <c r="G178" s="3">
        <f t="shared" si="9"/>
        <v>1.102130786186617E-2</v>
      </c>
      <c r="H178">
        <f>'Row Data'!P178</f>
        <v>142.1</v>
      </c>
      <c r="I178" s="3">
        <f t="shared" si="10"/>
        <v>1.4275517487508882E-2</v>
      </c>
      <c r="J178" t="str">
        <f t="shared" si="11"/>
        <v>Pre-COVID</v>
      </c>
    </row>
    <row r="179" spans="1:10" x14ac:dyDescent="0.35">
      <c r="A179" t="str">
        <f>'Row Data'!A179</f>
        <v>Rural</v>
      </c>
      <c r="B179">
        <f>'Row Data'!B179</f>
        <v>2017</v>
      </c>
      <c r="C179" t="str">
        <f>'Row Data'!C179</f>
        <v>December</v>
      </c>
      <c r="D179" s="2">
        <f>DATE(B179,MATCH(C179,{"January","February","March","April","May","June","July","August","September","October","November","December"},0),1)</f>
        <v>43070</v>
      </c>
      <c r="E179">
        <f>'Row Data'!AD179</f>
        <v>139.80000000000001</v>
      </c>
      <c r="F179" s="3">
        <f t="shared" si="8"/>
        <v>5.2710843373493965E-2</v>
      </c>
      <c r="G179" s="3">
        <f t="shared" si="9"/>
        <v>-1.4285714285713347E-3</v>
      </c>
      <c r="H179">
        <f>'Row Data'!P179</f>
        <v>141.5</v>
      </c>
      <c r="I179" s="3">
        <f t="shared" si="10"/>
        <v>-6.3202247191012084E-3</v>
      </c>
      <c r="J179" t="str">
        <f t="shared" si="11"/>
        <v>Pre-COVID</v>
      </c>
    </row>
    <row r="180" spans="1:10" x14ac:dyDescent="0.35">
      <c r="A180" t="str">
        <f>'Row Data'!A180</f>
        <v>Urban</v>
      </c>
      <c r="B180">
        <f>'Row Data'!B180</f>
        <v>2017</v>
      </c>
      <c r="C180" t="str">
        <f>'Row Data'!C180</f>
        <v>December</v>
      </c>
      <c r="D180" s="2">
        <f>DATE(B180,MATCH(C180,{"January","February","March","April","May","June","July","August","September","October","November","December"},0),1)</f>
        <v>43070</v>
      </c>
      <c r="E180">
        <f>'Row Data'!AD180</f>
        <v>134.1</v>
      </c>
      <c r="F180" s="3">
        <f t="shared" si="8"/>
        <v>5.094043887147337E-2</v>
      </c>
      <c r="G180" s="3">
        <f t="shared" si="9"/>
        <v>-5.1928783382790833E-3</v>
      </c>
      <c r="H180">
        <f>'Row Data'!P180</f>
        <v>138.80000000000001</v>
      </c>
      <c r="I180" s="3">
        <f t="shared" si="10"/>
        <v>-1.9081272084805589E-2</v>
      </c>
      <c r="J180" t="str">
        <f t="shared" si="11"/>
        <v>Pre-COVID</v>
      </c>
    </row>
    <row r="181" spans="1:10" x14ac:dyDescent="0.35">
      <c r="A181" t="str">
        <f>'Row Data'!A181</f>
        <v>Rural+Urban</v>
      </c>
      <c r="B181">
        <f>'Row Data'!B181</f>
        <v>2017</v>
      </c>
      <c r="C181" t="str">
        <f>'Row Data'!C181</f>
        <v>December</v>
      </c>
      <c r="D181" s="2">
        <f>DATE(B181,MATCH(C181,{"January","February","March","April","May","June","July","August","September","October","November","December"},0),1)</f>
        <v>43070</v>
      </c>
      <c r="E181">
        <f>'Row Data'!AD181</f>
        <v>137.19999999999999</v>
      </c>
      <c r="F181" s="3">
        <f t="shared" si="8"/>
        <v>5.2147239263803602E-2</v>
      </c>
      <c r="G181" s="3">
        <f t="shared" si="9"/>
        <v>-2.9069767441860517E-3</v>
      </c>
      <c r="H181">
        <f>'Row Data'!P181</f>
        <v>140.5</v>
      </c>
      <c r="I181" s="3">
        <f t="shared" si="10"/>
        <v>-1.1259676284306797E-2</v>
      </c>
      <c r="J181" t="str">
        <f t="shared" si="11"/>
        <v>Pre-COVID</v>
      </c>
    </row>
    <row r="182" spans="1:10" x14ac:dyDescent="0.35">
      <c r="A182" t="str">
        <f>'Row Data'!A182</f>
        <v>Rural</v>
      </c>
      <c r="B182">
        <f>'Row Data'!B182</f>
        <v>2018</v>
      </c>
      <c r="C182" t="str">
        <f>'Row Data'!C182</f>
        <v>January</v>
      </c>
      <c r="D182" s="2">
        <f>DATE(B182,MATCH(C182,{"January","February","March","April","May","June","July","August","September","October","November","December"},0),1)</f>
        <v>43101</v>
      </c>
      <c r="E182">
        <f>'Row Data'!AD182</f>
        <v>139.30000000000001</v>
      </c>
      <c r="F182" s="3">
        <f t="shared" si="8"/>
        <v>5.2114803625377792E-2</v>
      </c>
      <c r="G182" s="3">
        <f t="shared" si="9"/>
        <v>-3.5765379113018581E-3</v>
      </c>
      <c r="H182">
        <f>'Row Data'!P182</f>
        <v>140.4</v>
      </c>
      <c r="I182" s="3">
        <f t="shared" si="10"/>
        <v>-7.7738515901060179E-3</v>
      </c>
      <c r="J182" t="str">
        <f t="shared" si="11"/>
        <v>Pre-COVID</v>
      </c>
    </row>
    <row r="183" spans="1:10" x14ac:dyDescent="0.35">
      <c r="A183" t="str">
        <f>'Row Data'!A183</f>
        <v>Urban</v>
      </c>
      <c r="B183">
        <f>'Row Data'!B183</f>
        <v>2018</v>
      </c>
      <c r="C183" t="str">
        <f>'Row Data'!C183</f>
        <v>January</v>
      </c>
      <c r="D183" s="2">
        <f>DATE(B183,MATCH(C183,{"January","February","March","April","May","June","July","August","September","October","November","December"},0),1)</f>
        <v>43101</v>
      </c>
      <c r="E183">
        <f>'Row Data'!AD183</f>
        <v>134.1</v>
      </c>
      <c r="F183" s="3">
        <f t="shared" si="8"/>
        <v>4.9295774647887258E-2</v>
      </c>
      <c r="G183" s="3">
        <f t="shared" si="9"/>
        <v>0</v>
      </c>
      <c r="H183">
        <f>'Row Data'!P183</f>
        <v>137.19999999999999</v>
      </c>
      <c r="I183" s="3">
        <f t="shared" si="10"/>
        <v>-1.1527377521614035E-2</v>
      </c>
      <c r="J183" t="str">
        <f t="shared" si="11"/>
        <v>Pre-COVID</v>
      </c>
    </row>
    <row r="184" spans="1:10" x14ac:dyDescent="0.35">
      <c r="A184" t="str">
        <f>'Row Data'!A184</f>
        <v>Rural+Urban</v>
      </c>
      <c r="B184">
        <f>'Row Data'!B184</f>
        <v>2018</v>
      </c>
      <c r="C184" t="str">
        <f>'Row Data'!C184</f>
        <v>January</v>
      </c>
      <c r="D184" s="2">
        <f>DATE(B184,MATCH(C184,{"January","February","March","April","May","June","July","August","September","October","November","December"},0),1)</f>
        <v>43101</v>
      </c>
      <c r="E184">
        <f>'Row Data'!AD184</f>
        <v>136.9</v>
      </c>
      <c r="F184" s="3">
        <f t="shared" si="8"/>
        <v>5.0652340752110447E-2</v>
      </c>
      <c r="G184" s="3">
        <f t="shared" si="9"/>
        <v>-2.1865889212826506E-3</v>
      </c>
      <c r="H184">
        <f>'Row Data'!P184</f>
        <v>139.19999999999999</v>
      </c>
      <c r="I184" s="3">
        <f t="shared" si="10"/>
        <v>-9.2526690391460109E-3</v>
      </c>
      <c r="J184" t="str">
        <f t="shared" si="11"/>
        <v>Pre-COVID</v>
      </c>
    </row>
    <row r="185" spans="1:10" x14ac:dyDescent="0.35">
      <c r="A185" t="str">
        <f>'Row Data'!A185</f>
        <v>Rural</v>
      </c>
      <c r="B185">
        <f>'Row Data'!B185</f>
        <v>2018</v>
      </c>
      <c r="C185" t="str">
        <f>'Row Data'!C185</f>
        <v>February</v>
      </c>
      <c r="D185" s="2">
        <f>DATE(B185,MATCH(C185,{"January","February","March","April","May","June","July","August","September","October","November","December"},0),1)</f>
        <v>43132</v>
      </c>
      <c r="E185">
        <f>'Row Data'!AD185</f>
        <v>138.5</v>
      </c>
      <c r="F185" s="3">
        <f t="shared" si="8"/>
        <v>4.4494720965309265E-2</v>
      </c>
      <c r="G185" s="3">
        <f t="shared" si="9"/>
        <v>-5.7430007178751463E-3</v>
      </c>
      <c r="H185">
        <f>'Row Data'!P185</f>
        <v>138.69999999999999</v>
      </c>
      <c r="I185" s="3">
        <f t="shared" si="10"/>
        <v>-1.2108262108262213E-2</v>
      </c>
      <c r="J185" t="str">
        <f t="shared" si="11"/>
        <v>Pre-COVID</v>
      </c>
    </row>
    <row r="186" spans="1:10" x14ac:dyDescent="0.35">
      <c r="A186" t="str">
        <f>'Row Data'!A186</f>
        <v>Urban</v>
      </c>
      <c r="B186">
        <f>'Row Data'!B186</f>
        <v>2018</v>
      </c>
      <c r="C186" t="str">
        <f>'Row Data'!C186</f>
        <v>February</v>
      </c>
      <c r="D186" s="2">
        <f>DATE(B186,MATCH(C186,{"January","February","March","April","May","June","July","August","September","October","November","December"},0),1)</f>
        <v>43132</v>
      </c>
      <c r="E186">
        <f>'Row Data'!AD186</f>
        <v>134</v>
      </c>
      <c r="F186" s="3">
        <f t="shared" si="8"/>
        <v>4.5241809672387001E-2</v>
      </c>
      <c r="G186" s="3">
        <f t="shared" si="9"/>
        <v>-7.4571215510810251E-4</v>
      </c>
      <c r="H186">
        <f>'Row Data'!P186</f>
        <v>135.6</v>
      </c>
      <c r="I186" s="3">
        <f t="shared" si="10"/>
        <v>-1.1661807580174877E-2</v>
      </c>
      <c r="J186" t="str">
        <f t="shared" si="11"/>
        <v>Pre-COVID</v>
      </c>
    </row>
    <row r="187" spans="1:10" x14ac:dyDescent="0.35">
      <c r="A187" t="str">
        <f>'Row Data'!A187</f>
        <v>Rural+Urban</v>
      </c>
      <c r="B187">
        <f>'Row Data'!B187</f>
        <v>2018</v>
      </c>
      <c r="C187" t="str">
        <f>'Row Data'!C187</f>
        <v>February</v>
      </c>
      <c r="D187" s="2">
        <f>DATE(B187,MATCH(C187,{"January","February","March","April","May","June","July","August","September","October","November","December"},0),1)</f>
        <v>43132</v>
      </c>
      <c r="E187">
        <f>'Row Data'!AD187</f>
        <v>136.4</v>
      </c>
      <c r="F187" s="3">
        <f t="shared" si="8"/>
        <v>4.4410413476263511E-2</v>
      </c>
      <c r="G187" s="3">
        <f t="shared" si="9"/>
        <v>-3.6523009495982306E-3</v>
      </c>
      <c r="H187">
        <f>'Row Data'!P187</f>
        <v>137.6</v>
      </c>
      <c r="I187" s="3">
        <f t="shared" si="10"/>
        <v>-1.1494252873563204E-2</v>
      </c>
      <c r="J187" t="str">
        <f t="shared" si="11"/>
        <v>Pre-COVID</v>
      </c>
    </row>
    <row r="188" spans="1:10" x14ac:dyDescent="0.35">
      <c r="A188" t="str">
        <f>'Row Data'!A188</f>
        <v>Rural</v>
      </c>
      <c r="B188">
        <f>'Row Data'!B188</f>
        <v>2018</v>
      </c>
      <c r="C188" t="str">
        <f>'Row Data'!C188</f>
        <v>March</v>
      </c>
      <c r="D188" s="2">
        <f>DATE(B188,MATCH(C188,{"January","February","March","April","May","June","July","August","September","October","November","December"},0),1)</f>
        <v>43160</v>
      </c>
      <c r="E188">
        <f>'Row Data'!AD188</f>
        <v>138.69999999999999</v>
      </c>
      <c r="F188" s="3">
        <f t="shared" si="8"/>
        <v>4.4427710843373269E-2</v>
      </c>
      <c r="G188" s="3">
        <f t="shared" si="9"/>
        <v>1.4440433212996595E-3</v>
      </c>
      <c r="H188">
        <f>'Row Data'!P188</f>
        <v>138.6</v>
      </c>
      <c r="I188" s="3">
        <f t="shared" si="10"/>
        <v>-7.2098053352553926E-4</v>
      </c>
      <c r="J188" t="str">
        <f t="shared" si="11"/>
        <v>Pre-COVID</v>
      </c>
    </row>
    <row r="189" spans="1:10" x14ac:dyDescent="0.35">
      <c r="A189" t="str">
        <f>'Row Data'!A189</f>
        <v>Urban</v>
      </c>
      <c r="B189">
        <f>'Row Data'!B189</f>
        <v>2018</v>
      </c>
      <c r="C189" t="str">
        <f>'Row Data'!C189</f>
        <v>March</v>
      </c>
      <c r="D189" s="2">
        <f>DATE(B189,MATCH(C189,{"January","February","March","April","May","June","July","August","September","October","November","December"},0),1)</f>
        <v>43160</v>
      </c>
      <c r="E189">
        <f>'Row Data'!AD189</f>
        <v>134</v>
      </c>
      <c r="F189" s="3">
        <f t="shared" si="8"/>
        <v>4.1181041181041378E-2</v>
      </c>
      <c r="G189" s="3">
        <f t="shared" si="9"/>
        <v>0</v>
      </c>
      <c r="H189">
        <f>'Row Data'!P189</f>
        <v>134.80000000000001</v>
      </c>
      <c r="I189" s="3">
        <f t="shared" si="10"/>
        <v>-5.8997050147491237E-3</v>
      </c>
      <c r="J189" t="str">
        <f t="shared" si="11"/>
        <v>Pre-COVID</v>
      </c>
    </row>
    <row r="190" spans="1:10" x14ac:dyDescent="0.35">
      <c r="A190" t="str">
        <f>'Row Data'!A190</f>
        <v>Rural+Urban</v>
      </c>
      <c r="B190">
        <f>'Row Data'!B190</f>
        <v>2018</v>
      </c>
      <c r="C190" t="str">
        <f>'Row Data'!C190</f>
        <v>March</v>
      </c>
      <c r="D190" s="2">
        <f>DATE(B190,MATCH(C190,{"January","February","March","April","May","June","July","August","September","October","November","December"},0),1)</f>
        <v>43160</v>
      </c>
      <c r="E190">
        <f>'Row Data'!AD190</f>
        <v>136.5</v>
      </c>
      <c r="F190" s="3">
        <f t="shared" si="8"/>
        <v>4.2780748663101553E-2</v>
      </c>
      <c r="G190" s="3">
        <f t="shared" si="9"/>
        <v>7.3313782991202281E-4</v>
      </c>
      <c r="H190">
        <f>'Row Data'!P190</f>
        <v>137.19999999999999</v>
      </c>
      <c r="I190" s="3">
        <f t="shared" si="10"/>
        <v>-2.9069767441860517E-3</v>
      </c>
      <c r="J190" t="str">
        <f t="shared" si="11"/>
        <v>Pre-COVID</v>
      </c>
    </row>
    <row r="191" spans="1:10" x14ac:dyDescent="0.35">
      <c r="A191" t="str">
        <f>'Row Data'!A191</f>
        <v>Rural</v>
      </c>
      <c r="B191">
        <f>'Row Data'!B191</f>
        <v>2018</v>
      </c>
      <c r="C191" t="str">
        <f>'Row Data'!C191</f>
        <v>April</v>
      </c>
      <c r="D191" s="2">
        <f>DATE(B191,MATCH(C191,{"January","February","March","April","May","June","July","August","September","October","November","December"},0),1)</f>
        <v>43191</v>
      </c>
      <c r="E191">
        <f>'Row Data'!AD191</f>
        <v>139.1</v>
      </c>
      <c r="F191" s="3">
        <f t="shared" si="8"/>
        <v>4.6651617757712538E-2</v>
      </c>
      <c r="G191" s="3">
        <f t="shared" si="9"/>
        <v>2.8839221341023791E-3</v>
      </c>
      <c r="H191">
        <f>'Row Data'!P191</f>
        <v>138.6</v>
      </c>
      <c r="I191" s="3">
        <f t="shared" si="10"/>
        <v>0</v>
      </c>
      <c r="J191" t="str">
        <f t="shared" si="11"/>
        <v>Pre-COVID</v>
      </c>
    </row>
    <row r="192" spans="1:10" x14ac:dyDescent="0.35">
      <c r="A192" t="str">
        <f>'Row Data'!A192</f>
        <v>Urban</v>
      </c>
      <c r="B192">
        <f>'Row Data'!B192</f>
        <v>2018</v>
      </c>
      <c r="C192" t="str">
        <f>'Row Data'!C192</f>
        <v>April</v>
      </c>
      <c r="D192" s="2">
        <f>DATE(B192,MATCH(C192,{"January","February","March","April","May","June","July","August","September","October","November","December"},0),1)</f>
        <v>43191</v>
      </c>
      <c r="E192">
        <f>'Row Data'!AD192</f>
        <v>134.80000000000001</v>
      </c>
      <c r="F192" s="3">
        <f t="shared" si="8"/>
        <v>4.4151820294345612E-2</v>
      </c>
      <c r="G192" s="3">
        <f t="shared" si="9"/>
        <v>5.9701492537314049E-3</v>
      </c>
      <c r="H192">
        <f>'Row Data'!P192</f>
        <v>135.69999999999999</v>
      </c>
      <c r="I192" s="3">
        <f t="shared" si="10"/>
        <v>6.6765578635012979E-3</v>
      </c>
      <c r="J192" t="str">
        <f t="shared" si="11"/>
        <v>Pre-COVID</v>
      </c>
    </row>
    <row r="193" spans="1:10" x14ac:dyDescent="0.35">
      <c r="A193" t="str">
        <f>'Row Data'!A193</f>
        <v>Rural+Urban</v>
      </c>
      <c r="B193">
        <f>'Row Data'!B193</f>
        <v>2018</v>
      </c>
      <c r="C193" t="str">
        <f>'Row Data'!C193</f>
        <v>April</v>
      </c>
      <c r="D193" s="2">
        <f>DATE(B193,MATCH(C193,{"January","February","March","April","May","June","July","August","September","October","November","December"},0),1)</f>
        <v>43191</v>
      </c>
      <c r="E193">
        <f>'Row Data'!AD193</f>
        <v>137.1</v>
      </c>
      <c r="F193" s="3">
        <f t="shared" si="8"/>
        <v>4.5766590389016093E-2</v>
      </c>
      <c r="G193" s="3">
        <f t="shared" si="9"/>
        <v>4.39560439560438E-3</v>
      </c>
      <c r="H193">
        <f>'Row Data'!P193</f>
        <v>137.5</v>
      </c>
      <c r="I193" s="3">
        <f t="shared" si="10"/>
        <v>2.1865889212828726E-3</v>
      </c>
      <c r="J193" t="str">
        <f t="shared" si="11"/>
        <v>Pre-COVID</v>
      </c>
    </row>
    <row r="194" spans="1:10" x14ac:dyDescent="0.35">
      <c r="A194" t="str">
        <f>'Row Data'!A194</f>
        <v>Rural</v>
      </c>
      <c r="B194">
        <f>'Row Data'!B194</f>
        <v>2018</v>
      </c>
      <c r="C194" t="str">
        <f>'Row Data'!C194</f>
        <v>May</v>
      </c>
      <c r="D194" s="2">
        <f>DATE(B194,MATCH(C194,{"January","February","March","April","May","June","July","August","September","October","November","December"},0),1)</f>
        <v>43221</v>
      </c>
      <c r="E194">
        <f>'Row Data'!AD194</f>
        <v>139.80000000000001</v>
      </c>
      <c r="F194" s="3">
        <f t="shared" ref="F194:F257" si="12">IFERROR(E194/SUMIFS($E:$E,$A:$A,A194,$B:$B,B194-1,$C:$C,C194)-1,"")</f>
        <v>4.8762190547636974E-2</v>
      </c>
      <c r="G194" s="3">
        <f t="shared" ref="G194:G257" si="13">IFERROR(E194/SUMIFS($E:$E,$A:$A,A194,$D:$D,EDATE(D194,-1))-1,"")</f>
        <v>5.0323508267435813E-3</v>
      </c>
      <c r="H194">
        <f>'Row Data'!P194</f>
        <v>139.1</v>
      </c>
      <c r="I194" s="3">
        <f t="shared" ref="I194:I257" si="14">IFERROR(H194/SUMIFS($H:$H,$A:$A,A194,$D:$D,EDATE(D194,-1))-1,"")</f>
        <v>3.6075036075036149E-3</v>
      </c>
      <c r="J194" t="str">
        <f t="shared" ref="J194:J257" si="15">IF(D194&lt;DATE(2020,3,1),"Pre-COVID",IF(D194=DATE(2020,3,1),"COVID Onset / Mar-20",IF(D194&lt;=DATE(2021,12,31),"COVID Period","Post-COVID")))</f>
        <v>Pre-COVID</v>
      </c>
    </row>
    <row r="195" spans="1:10" x14ac:dyDescent="0.35">
      <c r="A195" t="str">
        <f>'Row Data'!A195</f>
        <v>Urban</v>
      </c>
      <c r="B195">
        <f>'Row Data'!B195</f>
        <v>2018</v>
      </c>
      <c r="C195" t="str">
        <f>'Row Data'!C195</f>
        <v>May</v>
      </c>
      <c r="D195" s="2">
        <f>DATE(B195,MATCH(C195,{"January","February","March","April","May","June","July","August","September","October","November","December"},0),1)</f>
        <v>43221</v>
      </c>
      <c r="E195">
        <f>'Row Data'!AD195</f>
        <v>135.4</v>
      </c>
      <c r="F195" s="3">
        <f t="shared" si="12"/>
        <v>4.717710750193338E-2</v>
      </c>
      <c r="G195" s="3">
        <f t="shared" si="13"/>
        <v>4.4510385756675319E-3</v>
      </c>
      <c r="H195">
        <f>'Row Data'!P195</f>
        <v>136.4</v>
      </c>
      <c r="I195" s="3">
        <f t="shared" si="14"/>
        <v>5.1584377302875684E-3</v>
      </c>
      <c r="J195" t="str">
        <f t="shared" si="15"/>
        <v>Pre-COVID</v>
      </c>
    </row>
    <row r="196" spans="1:10" x14ac:dyDescent="0.35">
      <c r="A196" t="str">
        <f>'Row Data'!A196</f>
        <v>Rural+Urban</v>
      </c>
      <c r="B196">
        <f>'Row Data'!B196</f>
        <v>2018</v>
      </c>
      <c r="C196" t="str">
        <f>'Row Data'!C196</f>
        <v>May</v>
      </c>
      <c r="D196" s="2">
        <f>DATE(B196,MATCH(C196,{"January","February","March","April","May","June","July","August","September","October","November","December"},0),1)</f>
        <v>43221</v>
      </c>
      <c r="E196">
        <f>'Row Data'!AD196</f>
        <v>137.80000000000001</v>
      </c>
      <c r="F196" s="3">
        <f t="shared" si="12"/>
        <v>4.8706240487062402E-2</v>
      </c>
      <c r="G196" s="3">
        <f t="shared" si="13"/>
        <v>5.1057622173598105E-3</v>
      </c>
      <c r="H196">
        <f>'Row Data'!P196</f>
        <v>138.1</v>
      </c>
      <c r="I196" s="3">
        <f t="shared" si="14"/>
        <v>4.3636363636363473E-3</v>
      </c>
      <c r="J196" t="str">
        <f t="shared" si="15"/>
        <v>Pre-COVID</v>
      </c>
    </row>
    <row r="197" spans="1:10" x14ac:dyDescent="0.35">
      <c r="A197" t="str">
        <f>'Row Data'!A197</f>
        <v>Rural</v>
      </c>
      <c r="B197">
        <f>'Row Data'!B197</f>
        <v>2018</v>
      </c>
      <c r="C197" t="str">
        <f>'Row Data'!C197</f>
        <v>June</v>
      </c>
      <c r="D197" s="2">
        <f>DATE(B197,MATCH(C197,{"January","February","March","April","May","June","July","August","September","October","November","December"},0),1)</f>
        <v>43252</v>
      </c>
      <c r="E197">
        <f>'Row Data'!AD197</f>
        <v>140.5</v>
      </c>
      <c r="F197" s="3">
        <f t="shared" si="12"/>
        <v>4.9290515309932781E-2</v>
      </c>
      <c r="G197" s="3">
        <f t="shared" si="13"/>
        <v>5.0071530758224458E-3</v>
      </c>
      <c r="H197">
        <f>'Row Data'!P197</f>
        <v>140</v>
      </c>
      <c r="I197" s="3">
        <f t="shared" si="14"/>
        <v>6.470165348670065E-3</v>
      </c>
      <c r="J197" t="str">
        <f t="shared" si="15"/>
        <v>Pre-COVID</v>
      </c>
    </row>
    <row r="198" spans="1:10" x14ac:dyDescent="0.35">
      <c r="A198" t="str">
        <f>'Row Data'!A198</f>
        <v>Urban</v>
      </c>
      <c r="B198">
        <f>'Row Data'!B198</f>
        <v>2018</v>
      </c>
      <c r="C198" t="str">
        <f>'Row Data'!C198</f>
        <v>June</v>
      </c>
      <c r="D198" s="2">
        <f>DATE(B198,MATCH(C198,{"January","February","March","April","May","June","July","August","September","October","November","December"},0),1)</f>
        <v>43252</v>
      </c>
      <c r="E198">
        <f>'Row Data'!AD198</f>
        <v>136.19999999999999</v>
      </c>
      <c r="F198" s="3">
        <f t="shared" si="12"/>
        <v>4.8498845265588786E-2</v>
      </c>
      <c r="G198" s="3">
        <f t="shared" si="13"/>
        <v>5.9084194977843119E-3</v>
      </c>
      <c r="H198">
        <f>'Row Data'!P198</f>
        <v>138.4</v>
      </c>
      <c r="I198" s="3">
        <f t="shared" si="14"/>
        <v>1.4662756598240456E-2</v>
      </c>
      <c r="J198" t="str">
        <f t="shared" si="15"/>
        <v>Pre-COVID</v>
      </c>
    </row>
    <row r="199" spans="1:10" x14ac:dyDescent="0.35">
      <c r="A199" t="str">
        <f>'Row Data'!A199</f>
        <v>Rural+Urban</v>
      </c>
      <c r="B199">
        <f>'Row Data'!B199</f>
        <v>2018</v>
      </c>
      <c r="C199" t="str">
        <f>'Row Data'!C199</f>
        <v>June</v>
      </c>
      <c r="D199" s="2">
        <f>DATE(B199,MATCH(C199,{"January","February","March","April","May","June","July","August","September","October","November","December"},0),1)</f>
        <v>43252</v>
      </c>
      <c r="E199">
        <f>'Row Data'!AD199</f>
        <v>138.5</v>
      </c>
      <c r="F199" s="3">
        <f t="shared" si="12"/>
        <v>4.924242424242431E-2</v>
      </c>
      <c r="G199" s="3">
        <f t="shared" si="13"/>
        <v>5.079825834542806E-3</v>
      </c>
      <c r="H199">
        <f>'Row Data'!P199</f>
        <v>139.4</v>
      </c>
      <c r="I199" s="3">
        <f t="shared" si="14"/>
        <v>9.413468501086264E-3</v>
      </c>
      <c r="J199" t="str">
        <f t="shared" si="15"/>
        <v>Pre-COVID</v>
      </c>
    </row>
    <row r="200" spans="1:10" x14ac:dyDescent="0.35">
      <c r="A200" t="str">
        <f>'Row Data'!A200</f>
        <v>Rural</v>
      </c>
      <c r="B200">
        <f>'Row Data'!B200</f>
        <v>2018</v>
      </c>
      <c r="C200" t="str">
        <f>'Row Data'!C200</f>
        <v>July</v>
      </c>
      <c r="D200" s="2">
        <f>DATE(B200,MATCH(C200,{"January","February","March","April","May","June","July","August","September","October","November","December"},0),1)</f>
        <v>43282</v>
      </c>
      <c r="E200">
        <f>'Row Data'!AD200</f>
        <v>141.80000000000001</v>
      </c>
      <c r="F200" s="3">
        <f t="shared" si="12"/>
        <v>4.1116005873715222E-2</v>
      </c>
      <c r="G200" s="3">
        <f t="shared" si="13"/>
        <v>9.2526690391458999E-3</v>
      </c>
      <c r="H200">
        <f>'Row Data'!P200</f>
        <v>142</v>
      </c>
      <c r="I200" s="3">
        <f t="shared" si="14"/>
        <v>1.4285714285714235E-2</v>
      </c>
      <c r="J200" t="str">
        <f t="shared" si="15"/>
        <v>Pre-COVID</v>
      </c>
    </row>
    <row r="201" spans="1:10" x14ac:dyDescent="0.35">
      <c r="A201" t="str">
        <f>'Row Data'!A201</f>
        <v>Urban</v>
      </c>
      <c r="B201">
        <f>'Row Data'!B201</f>
        <v>2018</v>
      </c>
      <c r="C201" t="str">
        <f>'Row Data'!C201</f>
        <v>July</v>
      </c>
      <c r="D201" s="2">
        <f>DATE(B201,MATCH(C201,{"January","February","March","April","May","June","July","August","September","October","November","December"},0),1)</f>
        <v>43282</v>
      </c>
      <c r="E201">
        <f>'Row Data'!AD201</f>
        <v>137.5</v>
      </c>
      <c r="F201" s="3">
        <f t="shared" si="12"/>
        <v>4.3247344461304849E-2</v>
      </c>
      <c r="G201" s="3">
        <f t="shared" si="13"/>
        <v>9.5447870778269106E-3</v>
      </c>
      <c r="H201">
        <f>'Row Data'!P201</f>
        <v>140.30000000000001</v>
      </c>
      <c r="I201" s="3">
        <f t="shared" si="14"/>
        <v>1.3728323699421896E-2</v>
      </c>
      <c r="J201" t="str">
        <f t="shared" si="15"/>
        <v>Pre-COVID</v>
      </c>
    </row>
    <row r="202" spans="1:10" x14ac:dyDescent="0.35">
      <c r="A202" t="str">
        <f>'Row Data'!A202</f>
        <v>Rural+Urban</v>
      </c>
      <c r="B202">
        <f>'Row Data'!B202</f>
        <v>2018</v>
      </c>
      <c r="C202" t="str">
        <f>'Row Data'!C202</f>
        <v>July</v>
      </c>
      <c r="D202" s="2">
        <f>DATE(B202,MATCH(C202,{"January","February","March","April","May","June","July","August","September","October","November","December"},0),1)</f>
        <v>43282</v>
      </c>
      <c r="E202">
        <f>'Row Data'!AD202</f>
        <v>139.80000000000001</v>
      </c>
      <c r="F202" s="3">
        <f t="shared" si="12"/>
        <v>4.1728763040238537E-2</v>
      </c>
      <c r="G202" s="3">
        <f t="shared" si="13"/>
        <v>9.3862815884477868E-3</v>
      </c>
      <c r="H202">
        <f>'Row Data'!P202</f>
        <v>141.4</v>
      </c>
      <c r="I202" s="3">
        <f t="shared" si="14"/>
        <v>1.4347202295552419E-2</v>
      </c>
      <c r="J202" t="str">
        <f t="shared" si="15"/>
        <v>Pre-COVID</v>
      </c>
    </row>
    <row r="203" spans="1:10" x14ac:dyDescent="0.35">
      <c r="A203" t="str">
        <f>'Row Data'!A203</f>
        <v>Rural</v>
      </c>
      <c r="B203">
        <f>'Row Data'!B203</f>
        <v>2018</v>
      </c>
      <c r="C203" t="str">
        <f>'Row Data'!C203</f>
        <v>August</v>
      </c>
      <c r="D203" s="2">
        <f>DATE(B203,MATCH(C203,{"January","February","March","April","May","June","July","August","September","October","November","December"},0),1)</f>
        <v>43313</v>
      </c>
      <c r="E203">
        <f>'Row Data'!AD203</f>
        <v>142.5</v>
      </c>
      <c r="F203" s="3">
        <f t="shared" si="12"/>
        <v>3.4107402031930301E-2</v>
      </c>
      <c r="G203" s="3">
        <f t="shared" si="13"/>
        <v>4.9365303244004455E-3</v>
      </c>
      <c r="H203">
        <f>'Row Data'!P203</f>
        <v>142.69999999999999</v>
      </c>
      <c r="I203" s="3">
        <f t="shared" si="14"/>
        <v>4.9295774647886148E-3</v>
      </c>
      <c r="J203" t="str">
        <f t="shared" si="15"/>
        <v>Pre-COVID</v>
      </c>
    </row>
    <row r="204" spans="1:10" x14ac:dyDescent="0.35">
      <c r="A204" t="str">
        <f>'Row Data'!A204</f>
        <v>Urban</v>
      </c>
      <c r="B204">
        <f>'Row Data'!B204</f>
        <v>2018</v>
      </c>
      <c r="C204" t="str">
        <f>'Row Data'!C204</f>
        <v>August</v>
      </c>
      <c r="D204" s="2">
        <f>DATE(B204,MATCH(C204,{"January","February","March","April","May","June","July","August","September","October","November","December"},0),1)</f>
        <v>43313</v>
      </c>
      <c r="E204">
        <f>'Row Data'!AD204</f>
        <v>138</v>
      </c>
      <c r="F204" s="3">
        <f t="shared" si="12"/>
        <v>3.9939713639788987E-2</v>
      </c>
      <c r="G204" s="3">
        <f t="shared" si="13"/>
        <v>3.6363636363636598E-3</v>
      </c>
      <c r="H204">
        <f>'Row Data'!P204</f>
        <v>140.1</v>
      </c>
      <c r="I204" s="3">
        <f t="shared" si="14"/>
        <v>-1.4255167498219423E-3</v>
      </c>
      <c r="J204" t="str">
        <f t="shared" si="15"/>
        <v>Pre-COVID</v>
      </c>
    </row>
    <row r="205" spans="1:10" x14ac:dyDescent="0.35">
      <c r="A205" t="str">
        <f>'Row Data'!A205</f>
        <v>Rural+Urban</v>
      </c>
      <c r="B205">
        <f>'Row Data'!B205</f>
        <v>2018</v>
      </c>
      <c r="C205" t="str">
        <f>'Row Data'!C205</f>
        <v>August</v>
      </c>
      <c r="D205" s="2">
        <f>DATE(B205,MATCH(C205,{"January","February","March","April","May","June","July","August","September","October","November","December"},0),1)</f>
        <v>43313</v>
      </c>
      <c r="E205">
        <f>'Row Data'!AD205</f>
        <v>140.4</v>
      </c>
      <c r="F205" s="3">
        <f t="shared" si="12"/>
        <v>3.692762186115206E-2</v>
      </c>
      <c r="G205" s="3">
        <f t="shared" si="13"/>
        <v>4.2918454935620964E-3</v>
      </c>
      <c r="H205">
        <f>'Row Data'!P205</f>
        <v>141.69999999999999</v>
      </c>
      <c r="I205" s="3">
        <f t="shared" si="14"/>
        <v>2.1216407355020284E-3</v>
      </c>
      <c r="J205" t="str">
        <f t="shared" si="15"/>
        <v>Pre-COVID</v>
      </c>
    </row>
    <row r="206" spans="1:10" x14ac:dyDescent="0.35">
      <c r="A206" t="str">
        <f>'Row Data'!A206</f>
        <v>Rural</v>
      </c>
      <c r="B206">
        <f>'Row Data'!B206</f>
        <v>2018</v>
      </c>
      <c r="C206" t="str">
        <f>'Row Data'!C206</f>
        <v>September</v>
      </c>
      <c r="D206" s="2">
        <f>DATE(B206,MATCH(C206,{"January","February","March","April","May","June","July","August","September","October","November","December"},0),1)</f>
        <v>43344</v>
      </c>
      <c r="E206">
        <f>'Row Data'!AD206</f>
        <v>142.1</v>
      </c>
      <c r="F206" s="3">
        <f t="shared" si="12"/>
        <v>3.2703488372092915E-2</v>
      </c>
      <c r="G206" s="3">
        <f t="shared" si="13"/>
        <v>-2.8070175438597023E-3</v>
      </c>
      <c r="H206">
        <f>'Row Data'!P206</f>
        <v>141.30000000000001</v>
      </c>
      <c r="I206" s="3">
        <f t="shared" si="14"/>
        <v>-9.8107918710580444E-3</v>
      </c>
      <c r="J206" t="str">
        <f t="shared" si="15"/>
        <v>Pre-COVID</v>
      </c>
    </row>
    <row r="207" spans="1:10" x14ac:dyDescent="0.35">
      <c r="A207" t="str">
        <f>'Row Data'!A207</f>
        <v>Urban</v>
      </c>
      <c r="B207">
        <f>'Row Data'!B207</f>
        <v>2018</v>
      </c>
      <c r="C207" t="str">
        <f>'Row Data'!C207</f>
        <v>September</v>
      </c>
      <c r="D207" s="2">
        <f>DATE(B207,MATCH(C207,{"January","February","March","April","May","June","July","August","September","October","November","December"},0),1)</f>
        <v>43344</v>
      </c>
      <c r="E207">
        <f>'Row Data'!AD207</f>
        <v>138.1</v>
      </c>
      <c r="F207" s="3">
        <f t="shared" si="12"/>
        <v>4.3051359516616206E-2</v>
      </c>
      <c r="G207" s="3">
        <f t="shared" si="13"/>
        <v>7.246376811593791E-4</v>
      </c>
      <c r="H207">
        <f>'Row Data'!P207</f>
        <v>138.9</v>
      </c>
      <c r="I207" s="3">
        <f t="shared" si="14"/>
        <v>-8.565310492505307E-3</v>
      </c>
      <c r="J207" t="str">
        <f t="shared" si="15"/>
        <v>Pre-COVID</v>
      </c>
    </row>
    <row r="208" spans="1:10" x14ac:dyDescent="0.35">
      <c r="A208" t="str">
        <f>'Row Data'!A208</f>
        <v>Rural+Urban</v>
      </c>
      <c r="B208">
        <f>'Row Data'!B208</f>
        <v>2018</v>
      </c>
      <c r="C208" t="str">
        <f>'Row Data'!C208</f>
        <v>September</v>
      </c>
      <c r="D208" s="2">
        <f>DATE(B208,MATCH(C208,{"January","February","March","April","May","June","July","August","September","October","November","December"},0),1)</f>
        <v>43344</v>
      </c>
      <c r="E208">
        <f>'Row Data'!AD208</f>
        <v>140.19999999999999</v>
      </c>
      <c r="F208" s="3">
        <f t="shared" si="12"/>
        <v>3.6982248520710082E-2</v>
      </c>
      <c r="G208" s="3">
        <f t="shared" si="13"/>
        <v>-1.4245014245015675E-3</v>
      </c>
      <c r="H208">
        <f>'Row Data'!P208</f>
        <v>140.4</v>
      </c>
      <c r="I208" s="3">
        <f t="shared" si="14"/>
        <v>-9.1743119266053386E-3</v>
      </c>
      <c r="J208" t="str">
        <f t="shared" si="15"/>
        <v>Pre-COVID</v>
      </c>
    </row>
    <row r="209" spans="1:10" x14ac:dyDescent="0.35">
      <c r="A209" t="str">
        <f>'Row Data'!A209</f>
        <v>Rural</v>
      </c>
      <c r="B209">
        <f>'Row Data'!B209</f>
        <v>2018</v>
      </c>
      <c r="C209" t="str">
        <f>'Row Data'!C209</f>
        <v>October</v>
      </c>
      <c r="D209" s="2">
        <f>DATE(B209,MATCH(C209,{"January","February","March","April","May","June","July","August","September","October","November","December"},0),1)</f>
        <v>43374</v>
      </c>
      <c r="E209">
        <f>'Row Data'!AD209</f>
        <v>142.19999999999999</v>
      </c>
      <c r="F209" s="3">
        <f t="shared" si="12"/>
        <v>2.8199566160520551E-2</v>
      </c>
      <c r="G209" s="3">
        <f t="shared" si="13"/>
        <v>7.0372976776922336E-4</v>
      </c>
      <c r="H209">
        <f>'Row Data'!P209</f>
        <v>140.19999999999999</v>
      </c>
      <c r="I209" s="3">
        <f t="shared" si="14"/>
        <v>-7.7848549186130267E-3</v>
      </c>
      <c r="J209" t="str">
        <f t="shared" si="15"/>
        <v>Pre-COVID</v>
      </c>
    </row>
    <row r="210" spans="1:10" x14ac:dyDescent="0.35">
      <c r="A210" t="str">
        <f>'Row Data'!A210</f>
        <v>Urban</v>
      </c>
      <c r="B210">
        <f>'Row Data'!B210</f>
        <v>2018</v>
      </c>
      <c r="C210" t="str">
        <f>'Row Data'!C210</f>
        <v>October</v>
      </c>
      <c r="D210" s="2">
        <f>DATE(B210,MATCH(C210,{"January","February","March","April","May","June","July","August","September","October","November","December"},0),1)</f>
        <v>43374</v>
      </c>
      <c r="E210">
        <f>'Row Data'!AD210</f>
        <v>138.9</v>
      </c>
      <c r="F210" s="3">
        <f t="shared" si="12"/>
        <v>4.0449438202247334E-2</v>
      </c>
      <c r="G210" s="3">
        <f t="shared" si="13"/>
        <v>5.7929036929762479E-3</v>
      </c>
      <c r="H210">
        <f>'Row Data'!P210</f>
        <v>139.4</v>
      </c>
      <c r="I210" s="3">
        <f t="shared" si="14"/>
        <v>3.5997120230382151E-3</v>
      </c>
      <c r="J210" t="str">
        <f t="shared" si="15"/>
        <v>Pre-COVID</v>
      </c>
    </row>
    <row r="211" spans="1:10" x14ac:dyDescent="0.35">
      <c r="A211" t="str">
        <f>'Row Data'!A211</f>
        <v>Rural+Urban</v>
      </c>
      <c r="B211">
        <f>'Row Data'!B211</f>
        <v>2018</v>
      </c>
      <c r="C211" t="str">
        <f>'Row Data'!C211</f>
        <v>October</v>
      </c>
      <c r="D211" s="2">
        <f>DATE(B211,MATCH(C211,{"January","February","March","April","May","June","July","August","September","October","November","December"},0),1)</f>
        <v>43374</v>
      </c>
      <c r="E211">
        <f>'Row Data'!AD211</f>
        <v>140.80000000000001</v>
      </c>
      <c r="F211" s="3">
        <f t="shared" si="12"/>
        <v>3.4533431300514561E-2</v>
      </c>
      <c r="G211" s="3">
        <f t="shared" si="13"/>
        <v>4.2796005706136064E-3</v>
      </c>
      <c r="H211">
        <f>'Row Data'!P211</f>
        <v>139.69999999999999</v>
      </c>
      <c r="I211" s="3">
        <f t="shared" si="14"/>
        <v>-4.9857549857551531E-3</v>
      </c>
      <c r="J211" t="str">
        <f t="shared" si="15"/>
        <v>Pre-COVID</v>
      </c>
    </row>
    <row r="212" spans="1:10" x14ac:dyDescent="0.35">
      <c r="A212" t="str">
        <f>'Row Data'!A212</f>
        <v>Rural</v>
      </c>
      <c r="B212">
        <f>'Row Data'!B212</f>
        <v>2018</v>
      </c>
      <c r="C212" t="str">
        <f>'Row Data'!C212</f>
        <v>November</v>
      </c>
      <c r="D212" s="2">
        <f>DATE(B212,MATCH(C212,{"January","February","March","April","May","June","July","August","September","October","November","December"},0),1)</f>
        <v>43405</v>
      </c>
      <c r="E212">
        <f>'Row Data'!AD212</f>
        <v>142.4</v>
      </c>
      <c r="F212" s="3">
        <f t="shared" si="12"/>
        <v>1.7142857142857126E-2</v>
      </c>
      <c r="G212" s="3">
        <f t="shared" si="13"/>
        <v>1.4064697609001975E-3</v>
      </c>
      <c r="H212">
        <f>'Row Data'!P212</f>
        <v>140</v>
      </c>
      <c r="I212" s="3">
        <f t="shared" si="14"/>
        <v>-1.4265335235377208E-3</v>
      </c>
      <c r="J212" t="str">
        <f t="shared" si="15"/>
        <v>Pre-COVID</v>
      </c>
    </row>
    <row r="213" spans="1:10" x14ac:dyDescent="0.35">
      <c r="A213" t="str">
        <f>'Row Data'!A213</f>
        <v>Urban</v>
      </c>
      <c r="B213">
        <f>'Row Data'!B213</f>
        <v>2018</v>
      </c>
      <c r="C213" t="str">
        <f>'Row Data'!C213</f>
        <v>November</v>
      </c>
      <c r="D213" s="2">
        <f>DATE(B213,MATCH(C213,{"January","February","March","April","May","June","July","August","September","October","November","December"},0),1)</f>
        <v>43405</v>
      </c>
      <c r="E213">
        <f>'Row Data'!AD213</f>
        <v>139</v>
      </c>
      <c r="F213" s="3">
        <f t="shared" si="12"/>
        <v>3.1157270029673612E-2</v>
      </c>
      <c r="G213" s="3">
        <f t="shared" si="13"/>
        <v>7.1994240460759862E-4</v>
      </c>
      <c r="H213">
        <f>'Row Data'!P213</f>
        <v>139.1</v>
      </c>
      <c r="I213" s="3">
        <f t="shared" si="14"/>
        <v>-2.1520803443328962E-3</v>
      </c>
      <c r="J213" t="str">
        <f t="shared" si="15"/>
        <v>Pre-COVID</v>
      </c>
    </row>
    <row r="214" spans="1:10" x14ac:dyDescent="0.35">
      <c r="A214" t="str">
        <f>'Row Data'!A214</f>
        <v>Rural+Urban</v>
      </c>
      <c r="B214">
        <f>'Row Data'!B214</f>
        <v>2018</v>
      </c>
      <c r="C214" t="str">
        <f>'Row Data'!C214</f>
        <v>November</v>
      </c>
      <c r="D214" s="2">
        <f>DATE(B214,MATCH(C214,{"January","February","March","April","May","June","July","August","September","October","November","December"},0),1)</f>
        <v>43405</v>
      </c>
      <c r="E214">
        <f>'Row Data'!AD214</f>
        <v>140.80000000000001</v>
      </c>
      <c r="F214" s="3">
        <f t="shared" si="12"/>
        <v>2.3255813953488413E-2</v>
      </c>
      <c r="G214" s="3">
        <f t="shared" si="13"/>
        <v>0</v>
      </c>
      <c r="H214">
        <f>'Row Data'!P214</f>
        <v>139.69999999999999</v>
      </c>
      <c r="I214" s="3">
        <f t="shared" si="14"/>
        <v>0</v>
      </c>
      <c r="J214" t="str">
        <f t="shared" si="15"/>
        <v>Pre-COVID</v>
      </c>
    </row>
    <row r="215" spans="1:10" x14ac:dyDescent="0.35">
      <c r="A215" t="str">
        <f>'Row Data'!A215</f>
        <v>Rural</v>
      </c>
      <c r="B215">
        <f>'Row Data'!B215</f>
        <v>2018</v>
      </c>
      <c r="C215" t="str">
        <f>'Row Data'!C215</f>
        <v>December</v>
      </c>
      <c r="D215" s="2">
        <f>DATE(B215,MATCH(C215,{"January","February","March","April","May","June","July","August","September","October","November","December"},0),1)</f>
        <v>43435</v>
      </c>
      <c r="E215">
        <f>'Row Data'!AD215</f>
        <v>141.9</v>
      </c>
      <c r="F215" s="3">
        <f t="shared" si="12"/>
        <v>1.5021459227467782E-2</v>
      </c>
      <c r="G215" s="3">
        <f t="shared" si="13"/>
        <v>-3.5112359550562022E-3</v>
      </c>
      <c r="H215">
        <f>'Row Data'!P215</f>
        <v>138.5</v>
      </c>
      <c r="I215" s="3">
        <f t="shared" si="14"/>
        <v>-1.0714285714285676E-2</v>
      </c>
      <c r="J215" t="str">
        <f t="shared" si="15"/>
        <v>Pre-COVID</v>
      </c>
    </row>
    <row r="216" spans="1:10" x14ac:dyDescent="0.35">
      <c r="A216" t="str">
        <f>'Row Data'!A216</f>
        <v>Urban</v>
      </c>
      <c r="B216">
        <f>'Row Data'!B216</f>
        <v>2018</v>
      </c>
      <c r="C216" t="str">
        <f>'Row Data'!C216</f>
        <v>December</v>
      </c>
      <c r="D216" s="2">
        <f>DATE(B216,MATCH(C216,{"January","February","March","April","May","June","July","August","September","October","November","December"},0),1)</f>
        <v>43435</v>
      </c>
      <c r="E216">
        <f>'Row Data'!AD216</f>
        <v>138</v>
      </c>
      <c r="F216" s="3">
        <f t="shared" si="12"/>
        <v>2.9082774049216997E-2</v>
      </c>
      <c r="G216" s="3">
        <f t="shared" si="13"/>
        <v>-7.194244604316502E-3</v>
      </c>
      <c r="H216">
        <f>'Row Data'!P216</f>
        <v>137.6</v>
      </c>
      <c r="I216" s="3">
        <f t="shared" si="14"/>
        <v>-1.0783608914450071E-2</v>
      </c>
      <c r="J216" t="str">
        <f t="shared" si="15"/>
        <v>Pre-COVID</v>
      </c>
    </row>
    <row r="217" spans="1:10" x14ac:dyDescent="0.35">
      <c r="A217" t="str">
        <f>'Row Data'!A217</f>
        <v>Rural+Urban</v>
      </c>
      <c r="B217">
        <f>'Row Data'!B217</f>
        <v>2018</v>
      </c>
      <c r="C217" t="str">
        <f>'Row Data'!C217</f>
        <v>December</v>
      </c>
      <c r="D217" s="2">
        <f>DATE(B217,MATCH(C217,{"January","February","March","April","May","June","July","August","September","October","November","December"},0),1)</f>
        <v>43435</v>
      </c>
      <c r="E217">
        <f>'Row Data'!AD217</f>
        <v>140.1</v>
      </c>
      <c r="F217" s="3">
        <f t="shared" si="12"/>
        <v>2.1137026239067103E-2</v>
      </c>
      <c r="G217" s="3">
        <f t="shared" si="13"/>
        <v>-4.9715909090910504E-3</v>
      </c>
      <c r="H217">
        <f>'Row Data'!P217</f>
        <v>138.19999999999999</v>
      </c>
      <c r="I217" s="3">
        <f t="shared" si="14"/>
        <v>-1.0737294201861092E-2</v>
      </c>
      <c r="J217" t="str">
        <f t="shared" si="15"/>
        <v>Pre-COVID</v>
      </c>
    </row>
    <row r="218" spans="1:10" x14ac:dyDescent="0.35">
      <c r="A218" t="str">
        <f>'Row Data'!A218</f>
        <v>Rural</v>
      </c>
      <c r="B218">
        <f>'Row Data'!B218</f>
        <v>2019</v>
      </c>
      <c r="C218" t="str">
        <f>'Row Data'!C218</f>
        <v>January</v>
      </c>
      <c r="D218" s="2">
        <f>DATE(B218,MATCH(C218,{"January","February","March","April","May","June","July","August","September","October","November","December"},0),1)</f>
        <v>43466</v>
      </c>
      <c r="E218">
        <f>'Row Data'!AD218</f>
        <v>141</v>
      </c>
      <c r="F218" s="3">
        <f t="shared" si="12"/>
        <v>1.2203876525484381E-2</v>
      </c>
      <c r="G218" s="3">
        <f t="shared" si="13"/>
        <v>-6.3424947145878097E-3</v>
      </c>
      <c r="H218">
        <f>'Row Data'!P218</f>
        <v>137.4</v>
      </c>
      <c r="I218" s="3">
        <f t="shared" si="14"/>
        <v>-7.9422382671480163E-3</v>
      </c>
      <c r="J218" t="str">
        <f t="shared" si="15"/>
        <v>Pre-COVID</v>
      </c>
    </row>
    <row r="219" spans="1:10" x14ac:dyDescent="0.35">
      <c r="A219" t="str">
        <f>'Row Data'!A219</f>
        <v>Urban</v>
      </c>
      <c r="B219">
        <f>'Row Data'!B219</f>
        <v>2019</v>
      </c>
      <c r="C219" t="str">
        <f>'Row Data'!C219</f>
        <v>January</v>
      </c>
      <c r="D219" s="2">
        <f>DATE(B219,MATCH(C219,{"January","February","March","April","May","June","July","August","September","October","November","December"},0),1)</f>
        <v>43466</v>
      </c>
      <c r="E219">
        <f>'Row Data'!AD219</f>
        <v>138</v>
      </c>
      <c r="F219" s="3">
        <f t="shared" si="12"/>
        <v>2.9082774049216997E-2</v>
      </c>
      <c r="G219" s="3">
        <f t="shared" si="13"/>
        <v>0</v>
      </c>
      <c r="H219">
        <f>'Row Data'!P219</f>
        <v>137.30000000000001</v>
      </c>
      <c r="I219" s="3">
        <f t="shared" si="14"/>
        <v>-2.1802325581393722E-3</v>
      </c>
      <c r="J219" t="str">
        <f t="shared" si="15"/>
        <v>Pre-COVID</v>
      </c>
    </row>
    <row r="220" spans="1:10" x14ac:dyDescent="0.35">
      <c r="A220" t="str">
        <f>'Row Data'!A220</f>
        <v>Rural+Urban</v>
      </c>
      <c r="B220">
        <f>'Row Data'!B220</f>
        <v>2019</v>
      </c>
      <c r="C220" t="str">
        <f>'Row Data'!C220</f>
        <v>January</v>
      </c>
      <c r="D220" s="2">
        <f>DATE(B220,MATCH(C220,{"January","February","March","April","May","June","July","August","September","October","November","December"},0),1)</f>
        <v>43466</v>
      </c>
      <c r="E220">
        <f>'Row Data'!AD220</f>
        <v>139.6</v>
      </c>
      <c r="F220" s="3">
        <f t="shared" si="12"/>
        <v>1.9722425127830512E-2</v>
      </c>
      <c r="G220" s="3">
        <f t="shared" si="13"/>
        <v>-3.5688793718772205E-3</v>
      </c>
      <c r="H220">
        <f>'Row Data'!P220</f>
        <v>137.4</v>
      </c>
      <c r="I220" s="3">
        <f t="shared" si="14"/>
        <v>-5.7887120115772683E-3</v>
      </c>
      <c r="J220" t="str">
        <f t="shared" si="15"/>
        <v>Pre-COVID</v>
      </c>
    </row>
    <row r="221" spans="1:10" x14ac:dyDescent="0.35">
      <c r="A221" t="str">
        <f>'Row Data'!A221</f>
        <v>Rural</v>
      </c>
      <c r="B221">
        <f>'Row Data'!B221</f>
        <v>2019</v>
      </c>
      <c r="C221" t="str">
        <f>'Row Data'!C221</f>
        <v>February</v>
      </c>
      <c r="D221" s="2">
        <f>DATE(B221,MATCH(C221,{"January","February","March","April","May","June","July","August","September","October","November","December"},0),1)</f>
        <v>43497</v>
      </c>
      <c r="E221">
        <f>'Row Data'!AD221</f>
        <v>141</v>
      </c>
      <c r="F221" s="3">
        <f t="shared" si="12"/>
        <v>1.8050541516245522E-2</v>
      </c>
      <c r="G221" s="3">
        <f t="shared" si="13"/>
        <v>0</v>
      </c>
      <c r="H221">
        <f>'Row Data'!P221</f>
        <v>137.19999999999999</v>
      </c>
      <c r="I221" s="3">
        <f t="shared" si="14"/>
        <v>-1.4556040756915634E-3</v>
      </c>
      <c r="J221" t="str">
        <f t="shared" si="15"/>
        <v>Pre-COVID</v>
      </c>
    </row>
    <row r="222" spans="1:10" x14ac:dyDescent="0.35">
      <c r="A222" t="str">
        <f>'Row Data'!A222</f>
        <v>Urban</v>
      </c>
      <c r="B222">
        <f>'Row Data'!B222</f>
        <v>2019</v>
      </c>
      <c r="C222" t="str">
        <f>'Row Data'!C222</f>
        <v>February</v>
      </c>
      <c r="D222" s="2">
        <f>DATE(B222,MATCH(C222,{"January","February","March","April","May","June","July","August","September","October","November","December"},0),1)</f>
        <v>43497</v>
      </c>
      <c r="E222">
        <f>'Row Data'!AD222</f>
        <v>138.6</v>
      </c>
      <c r="F222" s="3">
        <f t="shared" si="12"/>
        <v>3.4328358208955079E-2</v>
      </c>
      <c r="G222" s="3">
        <f t="shared" si="13"/>
        <v>4.3478260869564966E-3</v>
      </c>
      <c r="H222">
        <f>'Row Data'!P222</f>
        <v>138</v>
      </c>
      <c r="I222" s="3">
        <f t="shared" si="14"/>
        <v>5.0983248361251565E-3</v>
      </c>
      <c r="J222" t="str">
        <f t="shared" si="15"/>
        <v>Pre-COVID</v>
      </c>
    </row>
    <row r="223" spans="1:10" x14ac:dyDescent="0.35">
      <c r="A223" t="str">
        <f>'Row Data'!A223</f>
        <v>Rural+Urban</v>
      </c>
      <c r="B223">
        <f>'Row Data'!B223</f>
        <v>2019</v>
      </c>
      <c r="C223" t="str">
        <f>'Row Data'!C223</f>
        <v>February</v>
      </c>
      <c r="D223" s="2">
        <f>DATE(B223,MATCH(C223,{"January","February","March","April","May","June","July","August","September","October","November","December"},0),1)</f>
        <v>43497</v>
      </c>
      <c r="E223">
        <f>'Row Data'!AD223</f>
        <v>139.9</v>
      </c>
      <c r="F223" s="3">
        <f t="shared" si="12"/>
        <v>2.5659824046920798E-2</v>
      </c>
      <c r="G223" s="3">
        <f t="shared" si="13"/>
        <v>2.1489971346706493E-3</v>
      </c>
      <c r="H223">
        <f>'Row Data'!P223</f>
        <v>137.5</v>
      </c>
      <c r="I223" s="3">
        <f t="shared" si="14"/>
        <v>7.2780203784561515E-4</v>
      </c>
      <c r="J223" t="str">
        <f t="shared" si="15"/>
        <v>Pre-COVID</v>
      </c>
    </row>
    <row r="224" spans="1:10" x14ac:dyDescent="0.35">
      <c r="A224" t="str">
        <f>'Row Data'!A224</f>
        <v>Rural</v>
      </c>
      <c r="B224">
        <f>'Row Data'!B224</f>
        <v>2019</v>
      </c>
      <c r="C224" t="str">
        <f>'Row Data'!C224</f>
        <v>March</v>
      </c>
      <c r="D224" s="2">
        <f>DATE(B224,MATCH(C224,{"January","February","March","April","May","June","July","August","September","October","November","December"},0),1)</f>
        <v>43525</v>
      </c>
      <c r="E224">
        <f>'Row Data'!AD224</f>
        <v>141.19999999999999</v>
      </c>
      <c r="F224" s="3">
        <f t="shared" si="12"/>
        <v>1.8024513338139814E-2</v>
      </c>
      <c r="G224" s="3">
        <f t="shared" si="13"/>
        <v>1.4184397163119478E-3</v>
      </c>
      <c r="H224">
        <f>'Row Data'!P224</f>
        <v>137.30000000000001</v>
      </c>
      <c r="I224" s="3">
        <f t="shared" si="14"/>
        <v>7.2886297376117959E-4</v>
      </c>
      <c r="J224" t="str">
        <f t="shared" si="15"/>
        <v>Pre-COVID</v>
      </c>
    </row>
    <row r="225" spans="1:10" x14ac:dyDescent="0.35">
      <c r="A225" t="str">
        <f>'Row Data'!A225</f>
        <v>Urban</v>
      </c>
      <c r="B225">
        <f>'Row Data'!B225</f>
        <v>2019</v>
      </c>
      <c r="C225" t="str">
        <f>'Row Data'!C225</f>
        <v>March</v>
      </c>
      <c r="D225" s="2">
        <f>DATE(B225,MATCH(C225,{"January","February","March","April","May","June","July","August","September","October","November","December"},0),1)</f>
        <v>43525</v>
      </c>
      <c r="E225">
        <f>'Row Data'!AD225</f>
        <v>139.5</v>
      </c>
      <c r="F225" s="3">
        <f t="shared" si="12"/>
        <v>4.1044776119403048E-2</v>
      </c>
      <c r="G225" s="3">
        <f t="shared" si="13"/>
        <v>6.4935064935065512E-3</v>
      </c>
      <c r="H225">
        <f>'Row Data'!P225</f>
        <v>139.6</v>
      </c>
      <c r="I225" s="3">
        <f t="shared" si="14"/>
        <v>1.1594202898550732E-2</v>
      </c>
      <c r="J225" t="str">
        <f t="shared" si="15"/>
        <v>Pre-COVID</v>
      </c>
    </row>
    <row r="226" spans="1:10" x14ac:dyDescent="0.35">
      <c r="A226" t="str">
        <f>'Row Data'!A226</f>
        <v>Rural+Urban</v>
      </c>
      <c r="B226">
        <f>'Row Data'!B226</f>
        <v>2019</v>
      </c>
      <c r="C226" t="str">
        <f>'Row Data'!C226</f>
        <v>March</v>
      </c>
      <c r="D226" s="2">
        <f>DATE(B226,MATCH(C226,{"January","February","March","April","May","June","July","August","September","October","November","December"},0),1)</f>
        <v>43525</v>
      </c>
      <c r="E226">
        <f>'Row Data'!AD226</f>
        <v>140.4</v>
      </c>
      <c r="F226" s="3">
        <f t="shared" si="12"/>
        <v>2.8571428571428692E-2</v>
      </c>
      <c r="G226" s="3">
        <f t="shared" si="13"/>
        <v>3.5739814152966343E-3</v>
      </c>
      <c r="H226">
        <f>'Row Data'!P226</f>
        <v>138.1</v>
      </c>
      <c r="I226" s="3">
        <f t="shared" si="14"/>
        <v>4.3636363636363473E-3</v>
      </c>
      <c r="J226" t="str">
        <f t="shared" si="15"/>
        <v>Pre-COVID</v>
      </c>
    </row>
    <row r="227" spans="1:10" x14ac:dyDescent="0.35">
      <c r="A227" t="str">
        <f>'Row Data'!A227</f>
        <v>Rural</v>
      </c>
      <c r="B227">
        <f>'Row Data'!B227</f>
        <v>2019</v>
      </c>
      <c r="C227" t="str">
        <f>'Row Data'!C227</f>
        <v>May</v>
      </c>
      <c r="D227" s="2">
        <f>DATE(B227,MATCH(C227,{"January","February","March","April","May","June","July","August","September","October","November","December"},0),1)</f>
        <v>43586</v>
      </c>
      <c r="E227">
        <f>'Row Data'!AD227</f>
        <v>142.4</v>
      </c>
      <c r="F227" s="3">
        <f t="shared" si="12"/>
        <v>1.8597997138769529E-2</v>
      </c>
      <c r="G227" s="3" t="str">
        <f t="shared" si="13"/>
        <v/>
      </c>
      <c r="H227">
        <f>'Row Data'!P227</f>
        <v>139.19999999999999</v>
      </c>
      <c r="I227" s="3" t="str">
        <f t="shared" si="14"/>
        <v/>
      </c>
      <c r="J227" t="str">
        <f t="shared" si="15"/>
        <v>Pre-COVID</v>
      </c>
    </row>
    <row r="228" spans="1:10" x14ac:dyDescent="0.35">
      <c r="A228" t="str">
        <f>'Row Data'!A228</f>
        <v>Urban</v>
      </c>
      <c r="B228">
        <f>'Row Data'!B228</f>
        <v>2019</v>
      </c>
      <c r="C228" t="str">
        <f>'Row Data'!C228</f>
        <v>May</v>
      </c>
      <c r="D228" s="2">
        <f>DATE(B228,MATCH(C228,{"January","February","March","April","May","June","July","August","September","October","November","December"},0),1)</f>
        <v>43586</v>
      </c>
      <c r="E228">
        <f>'Row Data'!AD228</f>
        <v>141.5</v>
      </c>
      <c r="F228" s="3">
        <f t="shared" si="12"/>
        <v>4.5051698670605544E-2</v>
      </c>
      <c r="G228" s="3" t="str">
        <f t="shared" si="13"/>
        <v/>
      </c>
      <c r="H228">
        <f>'Row Data'!P228</f>
        <v>143.80000000000001</v>
      </c>
      <c r="I228" s="3" t="str">
        <f t="shared" si="14"/>
        <v/>
      </c>
      <c r="J228" t="str">
        <f t="shared" si="15"/>
        <v>Pre-COVID</v>
      </c>
    </row>
    <row r="229" spans="1:10" x14ac:dyDescent="0.35">
      <c r="A229" t="str">
        <f>'Row Data'!A229</f>
        <v>Rural+Urban</v>
      </c>
      <c r="B229">
        <f>'Row Data'!B229</f>
        <v>2019</v>
      </c>
      <c r="C229" t="str">
        <f>'Row Data'!C229</f>
        <v>May</v>
      </c>
      <c r="D229" s="2">
        <f>DATE(B229,MATCH(C229,{"January","February","March","April","May","June","July","August","September","October","November","December"},0),1)</f>
        <v>43586</v>
      </c>
      <c r="E229">
        <f>'Row Data'!AD229</f>
        <v>142</v>
      </c>
      <c r="F229" s="3">
        <f t="shared" si="12"/>
        <v>3.0478955007256836E-2</v>
      </c>
      <c r="G229" s="3" t="str">
        <f t="shared" si="13"/>
        <v/>
      </c>
      <c r="H229">
        <f>'Row Data'!P229</f>
        <v>140.9</v>
      </c>
      <c r="I229" s="3" t="str">
        <f t="shared" si="14"/>
        <v/>
      </c>
      <c r="J229" t="str">
        <f t="shared" si="15"/>
        <v>Pre-COVID</v>
      </c>
    </row>
    <row r="230" spans="1:10" x14ac:dyDescent="0.35">
      <c r="A230" t="str">
        <f>'Row Data'!A230</f>
        <v>Rural</v>
      </c>
      <c r="B230">
        <f>'Row Data'!B230</f>
        <v>2019</v>
      </c>
      <c r="C230" t="str">
        <f>'Row Data'!C230</f>
        <v>June</v>
      </c>
      <c r="D230" s="2">
        <f>DATE(B230,MATCH(C230,{"January","February","March","April","May","June","July","August","September","October","November","December"},0),1)</f>
        <v>43617</v>
      </c>
      <c r="E230">
        <f>'Row Data'!AD230</f>
        <v>143.6</v>
      </c>
      <c r="F230" s="3">
        <f t="shared" si="12"/>
        <v>2.2064056939501642E-2</v>
      </c>
      <c r="G230" s="3">
        <f t="shared" si="13"/>
        <v>8.4269662921347965E-3</v>
      </c>
      <c r="H230">
        <f>'Row Data'!P230</f>
        <v>141</v>
      </c>
      <c r="I230" s="3">
        <f t="shared" si="14"/>
        <v>1.2931034482758674E-2</v>
      </c>
      <c r="J230" t="str">
        <f t="shared" si="15"/>
        <v>Pre-COVID</v>
      </c>
    </row>
    <row r="231" spans="1:10" x14ac:dyDescent="0.35">
      <c r="A231" t="str">
        <f>'Row Data'!A231</f>
        <v>Urban</v>
      </c>
      <c r="B231">
        <f>'Row Data'!B231</f>
        <v>2019</v>
      </c>
      <c r="C231" t="str">
        <f>'Row Data'!C231</f>
        <v>June</v>
      </c>
      <c r="D231" s="2">
        <f>DATE(B231,MATCH(C231,{"January","February","March","April","May","June","July","August","September","October","November","December"},0),1)</f>
        <v>43617</v>
      </c>
      <c r="E231">
        <f>'Row Data'!AD231</f>
        <v>142.1</v>
      </c>
      <c r="F231" s="3">
        <f t="shared" si="12"/>
        <v>4.3318649045521296E-2</v>
      </c>
      <c r="G231" s="3">
        <f t="shared" si="13"/>
        <v>4.2402826855123532E-3</v>
      </c>
      <c r="H231">
        <f>'Row Data'!P231</f>
        <v>145.6</v>
      </c>
      <c r="I231" s="3">
        <f t="shared" si="14"/>
        <v>1.2517385257301727E-2</v>
      </c>
      <c r="J231" t="str">
        <f t="shared" si="15"/>
        <v>Pre-COVID</v>
      </c>
    </row>
    <row r="232" spans="1:10" x14ac:dyDescent="0.35">
      <c r="A232" t="str">
        <f>'Row Data'!A232</f>
        <v>Rural+Urban</v>
      </c>
      <c r="B232">
        <f>'Row Data'!B232</f>
        <v>2019</v>
      </c>
      <c r="C232" t="str">
        <f>'Row Data'!C232</f>
        <v>June</v>
      </c>
      <c r="D232" s="2">
        <f>DATE(B232,MATCH(C232,{"January","February","March","April","May","June","July","August","September","October","November","December"},0),1)</f>
        <v>43617</v>
      </c>
      <c r="E232">
        <f>'Row Data'!AD232</f>
        <v>142.9</v>
      </c>
      <c r="F232" s="3">
        <f t="shared" si="12"/>
        <v>3.1768953068592065E-2</v>
      </c>
      <c r="G232" s="3">
        <f t="shared" si="13"/>
        <v>6.3380281690141871E-3</v>
      </c>
      <c r="H232">
        <f>'Row Data'!P232</f>
        <v>142.69999999999999</v>
      </c>
      <c r="I232" s="3">
        <f t="shared" si="14"/>
        <v>1.2775017743080097E-2</v>
      </c>
      <c r="J232" t="str">
        <f t="shared" si="15"/>
        <v>Pre-COVID</v>
      </c>
    </row>
    <row r="233" spans="1:10" x14ac:dyDescent="0.35">
      <c r="A233" t="str">
        <f>'Row Data'!A233</f>
        <v>Rural</v>
      </c>
      <c r="B233">
        <f>'Row Data'!B233</f>
        <v>2019</v>
      </c>
      <c r="C233" t="str">
        <f>'Row Data'!C233</f>
        <v>July</v>
      </c>
      <c r="D233" s="2">
        <f>DATE(B233,MATCH(C233,{"January","February","March","April","May","June","July","August","September","October","November","December"},0),1)</f>
        <v>43647</v>
      </c>
      <c r="E233">
        <f>'Row Data'!AD233</f>
        <v>144.9</v>
      </c>
      <c r="F233" s="3">
        <f t="shared" si="12"/>
        <v>2.1861777150916639E-2</v>
      </c>
      <c r="G233" s="3">
        <f t="shared" si="13"/>
        <v>9.0529247910864363E-3</v>
      </c>
      <c r="H233">
        <f>'Row Data'!P233</f>
        <v>143</v>
      </c>
      <c r="I233" s="3">
        <f t="shared" si="14"/>
        <v>1.4184397163120588E-2</v>
      </c>
      <c r="J233" t="str">
        <f t="shared" si="15"/>
        <v>Pre-COVID</v>
      </c>
    </row>
    <row r="234" spans="1:10" x14ac:dyDescent="0.35">
      <c r="A234" t="str">
        <f>'Row Data'!A234</f>
        <v>Urban</v>
      </c>
      <c r="B234">
        <f>'Row Data'!B234</f>
        <v>2019</v>
      </c>
      <c r="C234" t="str">
        <f>'Row Data'!C234</f>
        <v>July</v>
      </c>
      <c r="D234" s="2">
        <f>DATE(B234,MATCH(C234,{"January","February","March","April","May","June","July","August","September","October","November","December"},0),1)</f>
        <v>43647</v>
      </c>
      <c r="E234">
        <f>'Row Data'!AD234</f>
        <v>143.30000000000001</v>
      </c>
      <c r="F234" s="3">
        <f t="shared" si="12"/>
        <v>4.218181818181832E-2</v>
      </c>
      <c r="G234" s="3">
        <f t="shared" si="13"/>
        <v>8.4447572132302362E-3</v>
      </c>
      <c r="H234">
        <f>'Row Data'!P234</f>
        <v>147.69999999999999</v>
      </c>
      <c r="I234" s="3">
        <f t="shared" si="14"/>
        <v>1.4423076923076872E-2</v>
      </c>
      <c r="J234" t="str">
        <f t="shared" si="15"/>
        <v>Pre-COVID</v>
      </c>
    </row>
    <row r="235" spans="1:10" x14ac:dyDescent="0.35">
      <c r="A235" t="str">
        <f>'Row Data'!A235</f>
        <v>Rural+Urban</v>
      </c>
      <c r="B235">
        <f>'Row Data'!B235</f>
        <v>2019</v>
      </c>
      <c r="C235" t="str">
        <f>'Row Data'!C235</f>
        <v>July</v>
      </c>
      <c r="D235" s="2">
        <f>DATE(B235,MATCH(C235,{"January","February","March","April","May","June","July","August","September","October","November","December"},0),1)</f>
        <v>43647</v>
      </c>
      <c r="E235">
        <f>'Row Data'!AD235</f>
        <v>144.19999999999999</v>
      </c>
      <c r="F235" s="3">
        <f t="shared" si="12"/>
        <v>3.1473533619456262E-2</v>
      </c>
      <c r="G235" s="3">
        <f t="shared" si="13"/>
        <v>9.0972708187542217E-3</v>
      </c>
      <c r="H235">
        <f>'Row Data'!P235</f>
        <v>144.69999999999999</v>
      </c>
      <c r="I235" s="3">
        <f t="shared" si="14"/>
        <v>1.4015416958654603E-2</v>
      </c>
      <c r="J235" t="str">
        <f t="shared" si="15"/>
        <v>Pre-COVID</v>
      </c>
    </row>
    <row r="236" spans="1:10" x14ac:dyDescent="0.35">
      <c r="A236" t="str">
        <f>'Row Data'!A236</f>
        <v>Rural</v>
      </c>
      <c r="B236">
        <f>'Row Data'!B236</f>
        <v>2019</v>
      </c>
      <c r="C236" t="str">
        <f>'Row Data'!C236</f>
        <v>August</v>
      </c>
      <c r="D236" s="2">
        <f>DATE(B236,MATCH(C236,{"January","February","March","April","May","June","July","August","September","October","November","December"},0),1)</f>
        <v>43678</v>
      </c>
      <c r="E236">
        <f>'Row Data'!AD236</f>
        <v>145.69999999999999</v>
      </c>
      <c r="F236" s="3">
        <f t="shared" si="12"/>
        <v>2.2456140350877174E-2</v>
      </c>
      <c r="G236" s="3">
        <f t="shared" si="13"/>
        <v>5.52104899930983E-3</v>
      </c>
      <c r="H236">
        <f>'Row Data'!P236</f>
        <v>144</v>
      </c>
      <c r="I236" s="3">
        <f t="shared" si="14"/>
        <v>6.9930069930070893E-3</v>
      </c>
      <c r="J236" t="str">
        <f t="shared" si="15"/>
        <v>Pre-COVID</v>
      </c>
    </row>
    <row r="237" spans="1:10" x14ac:dyDescent="0.35">
      <c r="A237" t="str">
        <f>'Row Data'!A237</f>
        <v>Urban</v>
      </c>
      <c r="B237">
        <f>'Row Data'!B237</f>
        <v>2019</v>
      </c>
      <c r="C237" t="str">
        <f>'Row Data'!C237</f>
        <v>August</v>
      </c>
      <c r="D237" s="2">
        <f>DATE(B237,MATCH(C237,{"January","February","March","April","May","June","July","August","September","October","November","December"},0),1)</f>
        <v>43678</v>
      </c>
      <c r="E237">
        <f>'Row Data'!AD237</f>
        <v>144.19999999999999</v>
      </c>
      <c r="F237" s="3">
        <f t="shared" si="12"/>
        <v>4.4927536231883947E-2</v>
      </c>
      <c r="G237" s="3">
        <f t="shared" si="13"/>
        <v>6.2805303558965964E-3</v>
      </c>
      <c r="H237">
        <f>'Row Data'!P237</f>
        <v>149.1</v>
      </c>
      <c r="I237" s="3">
        <f t="shared" si="14"/>
        <v>9.4786729857820884E-3</v>
      </c>
      <c r="J237" t="str">
        <f t="shared" si="15"/>
        <v>Pre-COVID</v>
      </c>
    </row>
    <row r="238" spans="1:10" x14ac:dyDescent="0.35">
      <c r="A238" t="str">
        <f>'Row Data'!A238</f>
        <v>Rural+Urban</v>
      </c>
      <c r="B238">
        <f>'Row Data'!B238</f>
        <v>2019</v>
      </c>
      <c r="C238" t="str">
        <f>'Row Data'!C238</f>
        <v>August</v>
      </c>
      <c r="D238" s="2">
        <f>DATE(B238,MATCH(C238,{"January","February","March","April","May","June","July","August","September","October","November","December"},0),1)</f>
        <v>43678</v>
      </c>
      <c r="E238">
        <f>'Row Data'!AD238</f>
        <v>145</v>
      </c>
      <c r="F238" s="3">
        <f t="shared" si="12"/>
        <v>3.2763532763532721E-2</v>
      </c>
      <c r="G238" s="3">
        <f t="shared" si="13"/>
        <v>5.5478502080443803E-3</v>
      </c>
      <c r="H238">
        <f>'Row Data'!P238</f>
        <v>145.9</v>
      </c>
      <c r="I238" s="3">
        <f t="shared" si="14"/>
        <v>8.29302004146526E-3</v>
      </c>
      <c r="J238" t="str">
        <f t="shared" si="15"/>
        <v>Pre-COVID</v>
      </c>
    </row>
    <row r="239" spans="1:10" x14ac:dyDescent="0.35">
      <c r="A239" t="str">
        <f>'Row Data'!A239</f>
        <v>Rural</v>
      </c>
      <c r="B239">
        <f>'Row Data'!B239</f>
        <v>2019</v>
      </c>
      <c r="C239" t="str">
        <f>'Row Data'!C239</f>
        <v>September</v>
      </c>
      <c r="D239" s="2">
        <f>DATE(B239,MATCH(C239,{"January","February","March","April","May","June","July","August","September","October","November","December"},0),1)</f>
        <v>43709</v>
      </c>
      <c r="E239">
        <f>'Row Data'!AD239</f>
        <v>146.69999999999999</v>
      </c>
      <c r="F239" s="3">
        <f t="shared" si="12"/>
        <v>3.2371569317382054E-2</v>
      </c>
      <c r="G239" s="3">
        <f t="shared" si="13"/>
        <v>6.8634179821551733E-3</v>
      </c>
      <c r="H239">
        <f>'Row Data'!P239</f>
        <v>145.5</v>
      </c>
      <c r="I239" s="3">
        <f t="shared" si="14"/>
        <v>1.0416666666666741E-2</v>
      </c>
      <c r="J239" t="str">
        <f t="shared" si="15"/>
        <v>Pre-COVID</v>
      </c>
    </row>
    <row r="240" spans="1:10" x14ac:dyDescent="0.35">
      <c r="A240" t="str">
        <f>'Row Data'!A240</f>
        <v>Urban</v>
      </c>
      <c r="B240">
        <f>'Row Data'!B240</f>
        <v>2019</v>
      </c>
      <c r="C240" t="str">
        <f>'Row Data'!C240</f>
        <v>September</v>
      </c>
      <c r="D240" s="2">
        <f>DATE(B240,MATCH(C240,{"January","February","March","April","May","June","July","August","September","October","November","December"},0),1)</f>
        <v>43709</v>
      </c>
      <c r="E240">
        <f>'Row Data'!AD240</f>
        <v>144.69999999999999</v>
      </c>
      <c r="F240" s="3">
        <f t="shared" si="12"/>
        <v>4.7791455467052879E-2</v>
      </c>
      <c r="G240" s="3">
        <f t="shared" si="13"/>
        <v>3.4674063800277377E-3</v>
      </c>
      <c r="H240">
        <f>'Row Data'!P240</f>
        <v>149.5</v>
      </c>
      <c r="I240" s="3">
        <f t="shared" si="14"/>
        <v>2.6827632461434714E-3</v>
      </c>
      <c r="J240" t="str">
        <f t="shared" si="15"/>
        <v>Pre-COVID</v>
      </c>
    </row>
    <row r="241" spans="1:10" x14ac:dyDescent="0.35">
      <c r="A241" t="str">
        <f>'Row Data'!A241</f>
        <v>Rural+Urban</v>
      </c>
      <c r="B241">
        <f>'Row Data'!B241</f>
        <v>2019</v>
      </c>
      <c r="C241" t="str">
        <f>'Row Data'!C241</f>
        <v>September</v>
      </c>
      <c r="D241" s="2">
        <f>DATE(B241,MATCH(C241,{"January","February","March","April","May","June","July","August","September","October","November","December"},0),1)</f>
        <v>43709</v>
      </c>
      <c r="E241">
        <f>'Row Data'!AD241</f>
        <v>145.80000000000001</v>
      </c>
      <c r="F241" s="3">
        <f t="shared" si="12"/>
        <v>3.9942938659058624E-2</v>
      </c>
      <c r="G241" s="3">
        <f t="shared" si="13"/>
        <v>5.5172413793105335E-3</v>
      </c>
      <c r="H241">
        <f>'Row Data'!P241</f>
        <v>147</v>
      </c>
      <c r="I241" s="3">
        <f t="shared" si="14"/>
        <v>7.5394105551747082E-3</v>
      </c>
      <c r="J241" t="str">
        <f t="shared" si="15"/>
        <v>Pre-COVID</v>
      </c>
    </row>
    <row r="242" spans="1:10" x14ac:dyDescent="0.35">
      <c r="A242" t="str">
        <f>'Row Data'!A242</f>
        <v>Rural</v>
      </c>
      <c r="B242">
        <f>'Row Data'!B242</f>
        <v>2019</v>
      </c>
      <c r="C242" t="str">
        <f>'Row Data'!C242</f>
        <v>October</v>
      </c>
      <c r="D242" s="2">
        <f>DATE(B242,MATCH(C242,{"January","February","March","April","May","June","July","August","September","October","November","December"},0),1)</f>
        <v>43739</v>
      </c>
      <c r="E242">
        <f>'Row Data'!AD242</f>
        <v>148.30000000000001</v>
      </c>
      <c r="F242" s="3">
        <f t="shared" si="12"/>
        <v>4.2897327707454469E-2</v>
      </c>
      <c r="G242" s="3">
        <f t="shared" si="13"/>
        <v>1.0906612133606108E-2</v>
      </c>
      <c r="H242">
        <f>'Row Data'!P242</f>
        <v>148.30000000000001</v>
      </c>
      <c r="I242" s="3">
        <f t="shared" si="14"/>
        <v>1.9243986254295686E-2</v>
      </c>
      <c r="J242" t="str">
        <f t="shared" si="15"/>
        <v>Pre-COVID</v>
      </c>
    </row>
    <row r="243" spans="1:10" x14ac:dyDescent="0.35">
      <c r="A243" t="str">
        <f>'Row Data'!A243</f>
        <v>Urban</v>
      </c>
      <c r="B243">
        <f>'Row Data'!B243</f>
        <v>2019</v>
      </c>
      <c r="C243" t="str">
        <f>'Row Data'!C243</f>
        <v>October</v>
      </c>
      <c r="D243" s="2">
        <f>DATE(B243,MATCH(C243,{"January","February","March","April","May","June","July","August","September","October","November","December"},0),1)</f>
        <v>43739</v>
      </c>
      <c r="E243">
        <f>'Row Data'!AD243</f>
        <v>146</v>
      </c>
      <c r="F243" s="3">
        <f t="shared" si="12"/>
        <v>5.1115910727141722E-2</v>
      </c>
      <c r="G243" s="3">
        <f t="shared" si="13"/>
        <v>8.9841050449206428E-3</v>
      </c>
      <c r="H243">
        <f>'Row Data'!P243</f>
        <v>151.9</v>
      </c>
      <c r="I243" s="3">
        <f t="shared" si="14"/>
        <v>1.6053511705685697E-2</v>
      </c>
      <c r="J243" t="str">
        <f t="shared" si="15"/>
        <v>Pre-COVID</v>
      </c>
    </row>
    <row r="244" spans="1:10" x14ac:dyDescent="0.35">
      <c r="A244" t="str">
        <f>'Row Data'!A244</f>
        <v>Rural+Urban</v>
      </c>
      <c r="B244">
        <f>'Row Data'!B244</f>
        <v>2019</v>
      </c>
      <c r="C244" t="str">
        <f>'Row Data'!C244</f>
        <v>October</v>
      </c>
      <c r="D244" s="2">
        <f>DATE(B244,MATCH(C244,{"January","February","March","April","May","June","July","August","September","October","November","December"},0),1)</f>
        <v>43739</v>
      </c>
      <c r="E244">
        <f>'Row Data'!AD244</f>
        <v>147.19999999999999</v>
      </c>
      <c r="F244" s="3">
        <f t="shared" si="12"/>
        <v>4.5454545454545192E-2</v>
      </c>
      <c r="G244" s="3">
        <f t="shared" si="13"/>
        <v>9.6021947873798918E-3</v>
      </c>
      <c r="H244">
        <f>'Row Data'!P244</f>
        <v>149.6</v>
      </c>
      <c r="I244" s="3">
        <f t="shared" si="14"/>
        <v>1.7687074829932037E-2</v>
      </c>
      <c r="J244" t="str">
        <f t="shared" si="15"/>
        <v>Pre-COVID</v>
      </c>
    </row>
    <row r="245" spans="1:10" x14ac:dyDescent="0.35">
      <c r="A245" t="str">
        <f>'Row Data'!A245</f>
        <v>Rural</v>
      </c>
      <c r="B245">
        <f>'Row Data'!B245</f>
        <v>2019</v>
      </c>
      <c r="C245" t="str">
        <f>'Row Data'!C245</f>
        <v>November</v>
      </c>
      <c r="D245" s="2">
        <f>DATE(B245,MATCH(C245,{"January","February","March","April","May","June","July","August","September","October","November","December"},0),1)</f>
        <v>43770</v>
      </c>
      <c r="E245">
        <f>'Row Data'!AD245</f>
        <v>149.9</v>
      </c>
      <c r="F245" s="3">
        <f t="shared" si="12"/>
        <v>5.2668539325842589E-2</v>
      </c>
      <c r="G245" s="3">
        <f t="shared" si="13"/>
        <v>1.0788941335131419E-2</v>
      </c>
      <c r="H245">
        <f>'Row Data'!P245</f>
        <v>150.9</v>
      </c>
      <c r="I245" s="3">
        <f t="shared" si="14"/>
        <v>1.7532029669588667E-2</v>
      </c>
      <c r="J245" t="str">
        <f t="shared" si="15"/>
        <v>Pre-COVID</v>
      </c>
    </row>
    <row r="246" spans="1:10" x14ac:dyDescent="0.35">
      <c r="A246" t="str">
        <f>'Row Data'!A246</f>
        <v>Urban</v>
      </c>
      <c r="B246">
        <f>'Row Data'!B246</f>
        <v>2019</v>
      </c>
      <c r="C246" t="str">
        <f>'Row Data'!C246</f>
        <v>November</v>
      </c>
      <c r="D246" s="2">
        <f>DATE(B246,MATCH(C246,{"January","February","March","April","May","June","July","August","September","October","November","December"},0),1)</f>
        <v>43770</v>
      </c>
      <c r="E246">
        <f>'Row Data'!AD246</f>
        <v>147</v>
      </c>
      <c r="F246" s="3">
        <f t="shared" si="12"/>
        <v>5.755395683453246E-2</v>
      </c>
      <c r="G246" s="3">
        <f t="shared" si="13"/>
        <v>6.8493150684931781E-3</v>
      </c>
      <c r="H246">
        <f>'Row Data'!P246</f>
        <v>153.6</v>
      </c>
      <c r="I246" s="3">
        <f t="shared" si="14"/>
        <v>1.1191573403554811E-2</v>
      </c>
      <c r="J246" t="str">
        <f t="shared" si="15"/>
        <v>Pre-COVID</v>
      </c>
    </row>
    <row r="247" spans="1:10" x14ac:dyDescent="0.35">
      <c r="A247" t="str">
        <f>'Row Data'!A247</f>
        <v>Rural+Urban</v>
      </c>
      <c r="B247">
        <f>'Row Data'!B247</f>
        <v>2019</v>
      </c>
      <c r="C247" t="str">
        <f>'Row Data'!C247</f>
        <v>November</v>
      </c>
      <c r="D247" s="2">
        <f>DATE(B247,MATCH(C247,{"January","February","March","April","May","June","July","August","September","October","November","December"},0),1)</f>
        <v>43770</v>
      </c>
      <c r="E247">
        <f>'Row Data'!AD247</f>
        <v>148.6</v>
      </c>
      <c r="F247" s="3">
        <f t="shared" si="12"/>
        <v>5.5397727272727071E-2</v>
      </c>
      <c r="G247" s="3">
        <f t="shared" si="13"/>
        <v>9.5108695652175168E-3</v>
      </c>
      <c r="H247">
        <f>'Row Data'!P247</f>
        <v>151.9</v>
      </c>
      <c r="I247" s="3">
        <f t="shared" si="14"/>
        <v>1.5374331550802145E-2</v>
      </c>
      <c r="J247" t="str">
        <f t="shared" si="15"/>
        <v>Pre-COVID</v>
      </c>
    </row>
    <row r="248" spans="1:10" x14ac:dyDescent="0.35">
      <c r="A248" t="str">
        <f>'Row Data'!A248</f>
        <v>Rural</v>
      </c>
      <c r="B248">
        <f>'Row Data'!B248</f>
        <v>2019</v>
      </c>
      <c r="C248" t="str">
        <f>'Row Data'!C248</f>
        <v>December</v>
      </c>
      <c r="D248" s="2">
        <f>DATE(B248,MATCH(C248,{"January","February","March","April","May","June","July","August","September","October","November","December"},0),1)</f>
        <v>43800</v>
      </c>
      <c r="E248">
        <f>'Row Data'!AD248</f>
        <v>152.30000000000001</v>
      </c>
      <c r="F248" s="3">
        <f t="shared" si="12"/>
        <v>7.3291050035236172E-2</v>
      </c>
      <c r="G248" s="3">
        <f t="shared" si="13"/>
        <v>1.6010673782521634E-2</v>
      </c>
      <c r="H248">
        <f>'Row Data'!P248</f>
        <v>154.30000000000001</v>
      </c>
      <c r="I248" s="3">
        <f t="shared" si="14"/>
        <v>2.2531477799867528E-2</v>
      </c>
      <c r="J248" t="str">
        <f t="shared" si="15"/>
        <v>Pre-COVID</v>
      </c>
    </row>
    <row r="249" spans="1:10" x14ac:dyDescent="0.35">
      <c r="A249" t="str">
        <f>'Row Data'!A249</f>
        <v>Urban</v>
      </c>
      <c r="B249">
        <f>'Row Data'!B249</f>
        <v>2019</v>
      </c>
      <c r="C249" t="str">
        <f>'Row Data'!C249</f>
        <v>December</v>
      </c>
      <c r="D249" s="2">
        <f>DATE(B249,MATCH(C249,{"January","February","March","April","May","June","July","August","September","October","November","December"},0),1)</f>
        <v>43800</v>
      </c>
      <c r="E249">
        <f>'Row Data'!AD249</f>
        <v>148.30000000000001</v>
      </c>
      <c r="F249" s="3">
        <f t="shared" si="12"/>
        <v>7.4637681159420266E-2</v>
      </c>
      <c r="G249" s="3">
        <f t="shared" si="13"/>
        <v>8.8435374149660184E-3</v>
      </c>
      <c r="H249">
        <f>'Row Data'!P249</f>
        <v>156.30000000000001</v>
      </c>
      <c r="I249" s="3">
        <f t="shared" si="14"/>
        <v>1.7578125000000222E-2</v>
      </c>
      <c r="J249" t="str">
        <f t="shared" si="15"/>
        <v>Pre-COVID</v>
      </c>
    </row>
    <row r="250" spans="1:10" x14ac:dyDescent="0.35">
      <c r="A250" t="str">
        <f>'Row Data'!A250</f>
        <v>Rural+Urban</v>
      </c>
      <c r="B250">
        <f>'Row Data'!B250</f>
        <v>2019</v>
      </c>
      <c r="C250" t="str">
        <f>'Row Data'!C250</f>
        <v>December</v>
      </c>
      <c r="D250" s="2">
        <f>DATE(B250,MATCH(C250,{"January","February","March","April","May","June","July","August","September","October","November","December"},0),1)</f>
        <v>43800</v>
      </c>
      <c r="E250">
        <f>'Row Data'!AD250</f>
        <v>150.4</v>
      </c>
      <c r="F250" s="3">
        <f t="shared" si="12"/>
        <v>7.3518915060670986E-2</v>
      </c>
      <c r="G250" s="3">
        <f t="shared" si="13"/>
        <v>1.211305518169592E-2</v>
      </c>
      <c r="H250">
        <f>'Row Data'!P250</f>
        <v>155</v>
      </c>
      <c r="I250" s="3">
        <f t="shared" si="14"/>
        <v>2.0408163265306145E-2</v>
      </c>
      <c r="J250" t="str">
        <f t="shared" si="15"/>
        <v>Pre-COVID</v>
      </c>
    </row>
    <row r="251" spans="1:10" x14ac:dyDescent="0.35">
      <c r="A251" t="str">
        <f>'Row Data'!A251</f>
        <v>Rural</v>
      </c>
      <c r="B251">
        <f>'Row Data'!B251</f>
        <v>2020</v>
      </c>
      <c r="C251" t="str">
        <f>'Row Data'!C251</f>
        <v>January</v>
      </c>
      <c r="D251" s="2">
        <f>DATE(B251,MATCH(C251,{"January","February","March","April","May","June","July","August","September","October","November","December"},0),1)</f>
        <v>43831</v>
      </c>
      <c r="E251">
        <f>'Row Data'!AD251</f>
        <v>151.9</v>
      </c>
      <c r="F251" s="3">
        <f t="shared" si="12"/>
        <v>7.7304964539007148E-2</v>
      </c>
      <c r="G251" s="3">
        <f t="shared" si="13"/>
        <v>-2.6263952724885353E-3</v>
      </c>
      <c r="H251">
        <f>'Row Data'!P251</f>
        <v>153</v>
      </c>
      <c r="I251" s="3">
        <f t="shared" si="14"/>
        <v>-8.4251458198315587E-3</v>
      </c>
      <c r="J251" t="str">
        <f t="shared" si="15"/>
        <v>Pre-COVID</v>
      </c>
    </row>
    <row r="252" spans="1:10" x14ac:dyDescent="0.35">
      <c r="A252" t="str">
        <f>'Row Data'!A252</f>
        <v>Urban</v>
      </c>
      <c r="B252">
        <f>'Row Data'!B252</f>
        <v>2020</v>
      </c>
      <c r="C252" t="str">
        <f>'Row Data'!C252</f>
        <v>January</v>
      </c>
      <c r="D252" s="2">
        <f>DATE(B252,MATCH(C252,{"January","February","March","April","May","June","July","August","September","October","November","December"},0),1)</f>
        <v>43831</v>
      </c>
      <c r="E252">
        <f>'Row Data'!AD252</f>
        <v>148.19999999999999</v>
      </c>
      <c r="F252" s="3">
        <f t="shared" si="12"/>
        <v>7.3913043478260887E-2</v>
      </c>
      <c r="G252" s="3">
        <f t="shared" si="13"/>
        <v>-6.7430883344588022E-4</v>
      </c>
      <c r="H252">
        <f>'Row Data'!P252</f>
        <v>154.4</v>
      </c>
      <c r="I252" s="3">
        <f t="shared" si="14"/>
        <v>-1.2156110044785673E-2</v>
      </c>
      <c r="J252" t="str">
        <f t="shared" si="15"/>
        <v>Pre-COVID</v>
      </c>
    </row>
    <row r="253" spans="1:10" x14ac:dyDescent="0.35">
      <c r="A253" t="str">
        <f>'Row Data'!A253</f>
        <v>Rural+Urban</v>
      </c>
      <c r="B253">
        <f>'Row Data'!B253</f>
        <v>2020</v>
      </c>
      <c r="C253" t="str">
        <f>'Row Data'!C253</f>
        <v>January</v>
      </c>
      <c r="D253" s="2">
        <f>DATE(B253,MATCH(C253,{"January","February","March","April","May","June","July","August","September","October","November","December"},0),1)</f>
        <v>43831</v>
      </c>
      <c r="E253">
        <f>'Row Data'!AD253</f>
        <v>150.19999999999999</v>
      </c>
      <c r="F253" s="3">
        <f t="shared" si="12"/>
        <v>7.5931232091690504E-2</v>
      </c>
      <c r="G253" s="3">
        <f t="shared" si="13"/>
        <v>-1.3297872340426453E-3</v>
      </c>
      <c r="H253">
        <f>'Row Data'!P253</f>
        <v>153.5</v>
      </c>
      <c r="I253" s="3">
        <f t="shared" si="14"/>
        <v>-9.6774193548386789E-3</v>
      </c>
      <c r="J253" t="str">
        <f t="shared" si="15"/>
        <v>Pre-COVID</v>
      </c>
    </row>
    <row r="254" spans="1:10" x14ac:dyDescent="0.35">
      <c r="A254" t="str">
        <f>'Row Data'!A254</f>
        <v>Rural</v>
      </c>
      <c r="B254">
        <f>'Row Data'!B254</f>
        <v>2020</v>
      </c>
      <c r="C254" t="str">
        <f>'Row Data'!C254</f>
        <v>February</v>
      </c>
      <c r="D254" s="2">
        <f>DATE(B254,MATCH(C254,{"January","February","March","April","May","June","July","August","September","October","November","December"},0),1)</f>
        <v>43862</v>
      </c>
      <c r="E254">
        <f>'Row Data'!AD254</f>
        <v>150.4</v>
      </c>
      <c r="F254" s="3">
        <f t="shared" si="12"/>
        <v>6.6666666666666652E-2</v>
      </c>
      <c r="G254" s="3">
        <f t="shared" si="13"/>
        <v>-9.8749177090190488E-3</v>
      </c>
      <c r="H254">
        <f>'Row Data'!P254</f>
        <v>149.80000000000001</v>
      </c>
      <c r="I254" s="3">
        <f t="shared" si="14"/>
        <v>-2.0915032679738488E-2</v>
      </c>
      <c r="J254" t="str">
        <f t="shared" si="15"/>
        <v>Pre-COVID</v>
      </c>
    </row>
    <row r="255" spans="1:10" x14ac:dyDescent="0.35">
      <c r="A255" t="str">
        <f>'Row Data'!A255</f>
        <v>Urban</v>
      </c>
      <c r="B255">
        <f>'Row Data'!B255</f>
        <v>2020</v>
      </c>
      <c r="C255" t="str">
        <f>'Row Data'!C255</f>
        <v>February</v>
      </c>
      <c r="D255" s="2">
        <f>DATE(B255,MATCH(C255,{"January","February","March","April","May","June","July","August","September","October","November","December"},0),1)</f>
        <v>43862</v>
      </c>
      <c r="E255">
        <f>'Row Data'!AD255</f>
        <v>147.69999999999999</v>
      </c>
      <c r="F255" s="3">
        <f t="shared" si="12"/>
        <v>6.5656565656565524E-2</v>
      </c>
      <c r="G255" s="3">
        <f t="shared" si="13"/>
        <v>-3.3738191632928238E-3</v>
      </c>
      <c r="H255">
        <f>'Row Data'!P255</f>
        <v>151.69999999999999</v>
      </c>
      <c r="I255" s="3">
        <f t="shared" si="14"/>
        <v>-1.7487046632124414E-2</v>
      </c>
      <c r="J255" t="str">
        <f t="shared" si="15"/>
        <v>Pre-COVID</v>
      </c>
    </row>
    <row r="256" spans="1:10" x14ac:dyDescent="0.35">
      <c r="A256" t="str">
        <f>'Row Data'!A256</f>
        <v>Rural+Urban</v>
      </c>
      <c r="B256">
        <f>'Row Data'!B256</f>
        <v>2020</v>
      </c>
      <c r="C256" t="str">
        <f>'Row Data'!C256</f>
        <v>February</v>
      </c>
      <c r="D256" s="2">
        <f>DATE(B256,MATCH(C256,{"January","February","March","April","May","June","July","August","September","October","November","December"},0),1)</f>
        <v>43862</v>
      </c>
      <c r="E256">
        <f>'Row Data'!AD256</f>
        <v>149.1</v>
      </c>
      <c r="F256" s="3">
        <f t="shared" si="12"/>
        <v>6.5761258041458159E-2</v>
      </c>
      <c r="G256" s="3">
        <f t="shared" si="13"/>
        <v>-7.3235685752329749E-3</v>
      </c>
      <c r="H256">
        <f>'Row Data'!P256</f>
        <v>150.5</v>
      </c>
      <c r="I256" s="3">
        <f t="shared" si="14"/>
        <v>-1.9543973941368087E-2</v>
      </c>
      <c r="J256" t="str">
        <f t="shared" si="15"/>
        <v>Pre-COVID</v>
      </c>
    </row>
    <row r="257" spans="1:10" x14ac:dyDescent="0.35">
      <c r="A257" t="str">
        <f>'Row Data'!A257</f>
        <v>Rural</v>
      </c>
      <c r="B257">
        <f>'Row Data'!B257</f>
        <v>2020</v>
      </c>
      <c r="C257" t="str">
        <f>'Row Data'!C257</f>
        <v>March</v>
      </c>
      <c r="D257" s="2">
        <f>DATE(B257,MATCH(C257,{"January","February","March","April","May","June","July","August","September","October","November","December"},0),1)</f>
        <v>43891</v>
      </c>
      <c r="E257">
        <f>'Row Data'!AD257</f>
        <v>149.80000000000001</v>
      </c>
      <c r="F257" s="3">
        <f t="shared" si="12"/>
        <v>6.0906515580736675E-2</v>
      </c>
      <c r="G257" s="3">
        <f t="shared" si="13"/>
        <v>-3.9893617021276029E-3</v>
      </c>
      <c r="H257">
        <f>'Row Data'!P257</f>
        <v>148.19999999999999</v>
      </c>
      <c r="I257" s="3">
        <f t="shared" si="14"/>
        <v>-1.0680907877169687E-2</v>
      </c>
      <c r="J257" t="str">
        <f t="shared" si="15"/>
        <v>COVID Onset / Mar-20</v>
      </c>
    </row>
    <row r="258" spans="1:10" x14ac:dyDescent="0.35">
      <c r="A258" t="str">
        <f>'Row Data'!A258</f>
        <v>Urban</v>
      </c>
      <c r="B258">
        <f>'Row Data'!B258</f>
        <v>2020</v>
      </c>
      <c r="C258" t="str">
        <f>'Row Data'!C258</f>
        <v>March</v>
      </c>
      <c r="D258" s="2">
        <f>DATE(B258,MATCH(C258,{"January","February","March","April","May","June","July","August","September","October","November","December"},0),1)</f>
        <v>43891</v>
      </c>
      <c r="E258">
        <f>'Row Data'!AD258</f>
        <v>147.30000000000001</v>
      </c>
      <c r="F258" s="3">
        <f t="shared" ref="F258:F321" si="16">IFERROR(E258/SUMIFS($E:$E,$A:$A,A258,$B:$B,B258-1,$C:$C,C258)-1,"")</f>
        <v>5.5913978494623651E-2</v>
      </c>
      <c r="G258" s="3">
        <f t="shared" ref="G258:G321" si="17">IFERROR(E258/SUMIFS($E:$E,$A:$A,A258,$D:$D,EDATE(D258,-1))-1,"")</f>
        <v>-2.7081922816518667E-3</v>
      </c>
      <c r="H258">
        <f>'Row Data'!P258</f>
        <v>150.1</v>
      </c>
      <c r="I258" s="3">
        <f t="shared" ref="I258:I321" si="18">IFERROR(H258/SUMIFS($H:$H,$A:$A,A258,$D:$D,EDATE(D258,-1))-1,"")</f>
        <v>-1.054713249835193E-2</v>
      </c>
      <c r="J258" t="str">
        <f t="shared" ref="J258:J321" si="19">IF(D258&lt;DATE(2020,3,1),"Pre-COVID",IF(D258=DATE(2020,3,1),"COVID Onset / Mar-20",IF(D258&lt;=DATE(2021,12,31),"COVID Period","Post-COVID")))</f>
        <v>COVID Onset / Mar-20</v>
      </c>
    </row>
    <row r="259" spans="1:10" x14ac:dyDescent="0.35">
      <c r="A259" t="str">
        <f>'Row Data'!A259</f>
        <v>Rural+Urban</v>
      </c>
      <c r="B259">
        <f>'Row Data'!B259</f>
        <v>2020</v>
      </c>
      <c r="C259" t="str">
        <f>'Row Data'!C259</f>
        <v>March</v>
      </c>
      <c r="D259" s="2">
        <f>DATE(B259,MATCH(C259,{"January","February","March","April","May","June","July","August","September","October","November","December"},0),1)</f>
        <v>43891</v>
      </c>
      <c r="E259">
        <f>'Row Data'!AD259</f>
        <v>148.6</v>
      </c>
      <c r="F259" s="3">
        <f t="shared" si="16"/>
        <v>5.8404558404558271E-2</v>
      </c>
      <c r="G259" s="3">
        <f t="shared" si="17"/>
        <v>-3.3534540576793948E-3</v>
      </c>
      <c r="H259">
        <f>'Row Data'!P259</f>
        <v>148.9</v>
      </c>
      <c r="I259" s="3">
        <f t="shared" si="18"/>
        <v>-1.0631229235880335E-2</v>
      </c>
      <c r="J259" t="str">
        <f t="shared" si="19"/>
        <v>COVID Onset / Mar-20</v>
      </c>
    </row>
    <row r="260" spans="1:10" x14ac:dyDescent="0.35">
      <c r="A260" t="str">
        <f>'Row Data'!A260</f>
        <v>Rural</v>
      </c>
      <c r="B260">
        <f>'Row Data'!B260</f>
        <v>2020</v>
      </c>
      <c r="C260" t="str">
        <f>'Row Data'!C260</f>
        <v>April</v>
      </c>
      <c r="D260" s="2">
        <f>DATE(B260,MATCH(C260,{"January","February","March","April","May","June","July","August","September","October","November","December"},0),1)</f>
        <v>43922</v>
      </c>
      <c r="E260">
        <f>'Row Data'!AD260</f>
        <v>0</v>
      </c>
      <c r="F260" s="3" t="str">
        <f t="shared" si="16"/>
        <v/>
      </c>
      <c r="G260" s="3">
        <f t="shared" si="17"/>
        <v>-1</v>
      </c>
      <c r="H260">
        <f>'Row Data'!P260</f>
        <v>150.1</v>
      </c>
      <c r="I260" s="3">
        <f t="shared" si="18"/>
        <v>1.2820512820512775E-2</v>
      </c>
      <c r="J260" t="str">
        <f t="shared" si="19"/>
        <v>COVID Period</v>
      </c>
    </row>
    <row r="261" spans="1:10" x14ac:dyDescent="0.35">
      <c r="A261" t="str">
        <f>'Row Data'!A261</f>
        <v>Urban</v>
      </c>
      <c r="B261">
        <f>'Row Data'!B261</f>
        <v>2020</v>
      </c>
      <c r="C261" t="str">
        <f>'Row Data'!C261</f>
        <v>April</v>
      </c>
      <c r="D261" s="2">
        <f>DATE(B261,MATCH(C261,{"January","February","March","April","May","June","July","August","September","October","November","December"},0),1)</f>
        <v>43922</v>
      </c>
      <c r="E261">
        <f>'Row Data'!AD261</f>
        <v>0</v>
      </c>
      <c r="F261" s="3" t="str">
        <f t="shared" si="16"/>
        <v/>
      </c>
      <c r="G261" s="3">
        <f t="shared" si="17"/>
        <v>-1</v>
      </c>
      <c r="H261">
        <f>'Row Data'!P261</f>
        <v>153.5</v>
      </c>
      <c r="I261" s="3">
        <f t="shared" si="18"/>
        <v>2.2651565622918035E-2</v>
      </c>
      <c r="J261" t="str">
        <f t="shared" si="19"/>
        <v>COVID Period</v>
      </c>
    </row>
    <row r="262" spans="1:10" x14ac:dyDescent="0.35">
      <c r="A262" t="str">
        <f>'Row Data'!A262</f>
        <v>Rural+Urban</v>
      </c>
      <c r="B262">
        <f>'Row Data'!B262</f>
        <v>2020</v>
      </c>
      <c r="C262" t="str">
        <f>'Row Data'!C262</f>
        <v>April</v>
      </c>
      <c r="D262" s="2">
        <f>DATE(B262,MATCH(C262,{"January","February","March","April","May","June","July","August","September","October","November","December"},0),1)</f>
        <v>43922</v>
      </c>
      <c r="E262">
        <f>'Row Data'!AD262</f>
        <v>0</v>
      </c>
      <c r="F262" s="3" t="str">
        <f t="shared" si="16"/>
        <v/>
      </c>
      <c r="G262" s="3">
        <f t="shared" si="17"/>
        <v>-1</v>
      </c>
      <c r="H262">
        <f>'Row Data'!P262</f>
        <v>151.4</v>
      </c>
      <c r="I262" s="3">
        <f t="shared" si="18"/>
        <v>1.6789791806581578E-2</v>
      </c>
      <c r="J262" t="str">
        <f t="shared" si="19"/>
        <v>COVID Period</v>
      </c>
    </row>
    <row r="263" spans="1:10" x14ac:dyDescent="0.35">
      <c r="A263" t="str">
        <f>'Row Data'!A263</f>
        <v>Rural</v>
      </c>
      <c r="B263">
        <f>'Row Data'!B263</f>
        <v>2020</v>
      </c>
      <c r="C263" t="str">
        <f>'Row Data'!C263</f>
        <v>May</v>
      </c>
      <c r="D263" s="2">
        <f>DATE(B263,MATCH(C263,{"January","February","March","April","May","June","July","August","September","October","November","December"},0),1)</f>
        <v>43952</v>
      </c>
      <c r="E263">
        <f>'Row Data'!AD263</f>
        <v>0</v>
      </c>
      <c r="F263" s="3">
        <f t="shared" si="16"/>
        <v>-1</v>
      </c>
      <c r="G263" s="3" t="str">
        <f t="shared" si="17"/>
        <v/>
      </c>
      <c r="H263">
        <f>'Row Data'!P263</f>
        <v>0</v>
      </c>
      <c r="I263" s="3">
        <f t="shared" si="18"/>
        <v>-1</v>
      </c>
      <c r="J263" t="str">
        <f t="shared" si="19"/>
        <v>COVID Period</v>
      </c>
    </row>
    <row r="264" spans="1:10" x14ac:dyDescent="0.35">
      <c r="A264" t="str">
        <f>'Row Data'!A264</f>
        <v>Urban</v>
      </c>
      <c r="B264">
        <f>'Row Data'!B264</f>
        <v>2020</v>
      </c>
      <c r="C264" t="str">
        <f>'Row Data'!C264</f>
        <v>May</v>
      </c>
      <c r="D264" s="2">
        <f>DATE(B264,MATCH(C264,{"January","February","March","April","May","June","July","August","September","October","November","December"},0),1)</f>
        <v>43952</v>
      </c>
      <c r="E264">
        <f>'Row Data'!AD264</f>
        <v>0</v>
      </c>
      <c r="F264" s="3">
        <f t="shared" si="16"/>
        <v>-1</v>
      </c>
      <c r="G264" s="3" t="str">
        <f t="shared" si="17"/>
        <v/>
      </c>
      <c r="H264">
        <f>'Row Data'!P264</f>
        <v>0</v>
      </c>
      <c r="I264" s="3">
        <f t="shared" si="18"/>
        <v>-1</v>
      </c>
      <c r="J264" t="str">
        <f t="shared" si="19"/>
        <v>COVID Period</v>
      </c>
    </row>
    <row r="265" spans="1:10" x14ac:dyDescent="0.35">
      <c r="A265" t="str">
        <f>'Row Data'!A265</f>
        <v>Rural+Urban</v>
      </c>
      <c r="B265">
        <f>'Row Data'!B265</f>
        <v>2020</v>
      </c>
      <c r="C265" t="str">
        <f>'Row Data'!C265</f>
        <v>May</v>
      </c>
      <c r="D265" s="2">
        <f>DATE(B265,MATCH(C265,{"January","February","March","April","May","June","July","August","September","October","November","December"},0),1)</f>
        <v>43952</v>
      </c>
      <c r="E265">
        <f>'Row Data'!AD265</f>
        <v>0</v>
      </c>
      <c r="F265" s="3">
        <f t="shared" si="16"/>
        <v>-1</v>
      </c>
      <c r="G265" s="3" t="str">
        <f t="shared" si="17"/>
        <v/>
      </c>
      <c r="H265">
        <f>'Row Data'!P265</f>
        <v>0</v>
      </c>
      <c r="I265" s="3">
        <f t="shared" si="18"/>
        <v>-1</v>
      </c>
      <c r="J265" t="str">
        <f t="shared" si="19"/>
        <v>COVID Period</v>
      </c>
    </row>
    <row r="266" spans="1:10" x14ac:dyDescent="0.35">
      <c r="A266" t="str">
        <f>'Row Data'!A266</f>
        <v>Rural</v>
      </c>
      <c r="B266">
        <f>'Row Data'!B266</f>
        <v>2020</v>
      </c>
      <c r="C266" t="str">
        <f>'Row Data'!C266</f>
        <v>June</v>
      </c>
      <c r="D266" s="2">
        <f>DATE(B266,MATCH(C266,{"January","February","March","April","May","June","July","August","September","October","November","December"},0),1)</f>
        <v>43983</v>
      </c>
      <c r="E266">
        <f>'Row Data'!AD266</f>
        <v>152.69999999999999</v>
      </c>
      <c r="F266" s="3">
        <f t="shared" si="16"/>
        <v>6.3370473537604388E-2</v>
      </c>
      <c r="G266" s="3" t="str">
        <f t="shared" si="17"/>
        <v/>
      </c>
      <c r="H266">
        <f>'Row Data'!P266</f>
        <v>152.30000000000001</v>
      </c>
      <c r="I266" s="3" t="str">
        <f t="shared" si="18"/>
        <v/>
      </c>
      <c r="J266" t="str">
        <f t="shared" si="19"/>
        <v>COVID Period</v>
      </c>
    </row>
    <row r="267" spans="1:10" x14ac:dyDescent="0.35">
      <c r="A267" t="str">
        <f>'Row Data'!A267</f>
        <v>Urban</v>
      </c>
      <c r="B267">
        <f>'Row Data'!B267</f>
        <v>2020</v>
      </c>
      <c r="C267" t="str">
        <f>'Row Data'!C267</f>
        <v>June</v>
      </c>
      <c r="D267" s="2">
        <f>DATE(B267,MATCH(C267,{"January","February","March","April","May","June","July","August","September","October","November","December"},0),1)</f>
        <v>43983</v>
      </c>
      <c r="E267">
        <f>'Row Data'!AD267</f>
        <v>150.80000000000001</v>
      </c>
      <c r="F267" s="3">
        <f t="shared" si="16"/>
        <v>6.1224489795918435E-2</v>
      </c>
      <c r="G267" s="3" t="str">
        <f t="shared" si="17"/>
        <v/>
      </c>
      <c r="H267">
        <f>'Row Data'!P267</f>
        <v>157</v>
      </c>
      <c r="I267" s="3" t="str">
        <f t="shared" si="18"/>
        <v/>
      </c>
      <c r="J267" t="str">
        <f t="shared" si="19"/>
        <v>COVID Period</v>
      </c>
    </row>
    <row r="268" spans="1:10" x14ac:dyDescent="0.35">
      <c r="A268" t="str">
        <f>'Row Data'!A268</f>
        <v>Rural+Urban</v>
      </c>
      <c r="B268">
        <f>'Row Data'!B268</f>
        <v>2020</v>
      </c>
      <c r="C268" t="str">
        <f>'Row Data'!C268</f>
        <v>June</v>
      </c>
      <c r="D268" s="2">
        <f>DATE(B268,MATCH(C268,{"January","February","March","April","May","June","July","August","September","October","November","December"},0),1)</f>
        <v>43983</v>
      </c>
      <c r="E268">
        <f>'Row Data'!AD268</f>
        <v>151.80000000000001</v>
      </c>
      <c r="F268" s="3">
        <f t="shared" si="16"/>
        <v>6.2281315605318355E-2</v>
      </c>
      <c r="G268" s="3" t="str">
        <f t="shared" si="17"/>
        <v/>
      </c>
      <c r="H268">
        <f>'Row Data'!P268</f>
        <v>154</v>
      </c>
      <c r="I268" s="3" t="str">
        <f t="shared" si="18"/>
        <v/>
      </c>
      <c r="J268" t="str">
        <f t="shared" si="19"/>
        <v>COVID Period</v>
      </c>
    </row>
    <row r="269" spans="1:10" x14ac:dyDescent="0.35">
      <c r="A269" t="str">
        <f>'Row Data'!A269</f>
        <v>Rural</v>
      </c>
      <c r="B269">
        <f>'Row Data'!B269</f>
        <v>2020</v>
      </c>
      <c r="C269" t="str">
        <f>'Row Data'!C269</f>
        <v>July</v>
      </c>
      <c r="D269" s="2">
        <f>DATE(B269,MATCH(C269,{"January","February","March","April","May","June","July","August","September","October","November","December"},0),1)</f>
        <v>44013</v>
      </c>
      <c r="E269">
        <f>'Row Data'!AD269</f>
        <v>152.69999999999999</v>
      </c>
      <c r="F269" s="3">
        <f t="shared" si="16"/>
        <v>5.3830227743271175E-2</v>
      </c>
      <c r="G269" s="3">
        <f t="shared" si="17"/>
        <v>0</v>
      </c>
      <c r="H269">
        <f>'Row Data'!P269</f>
        <v>152.30000000000001</v>
      </c>
      <c r="I269" s="3">
        <f t="shared" si="18"/>
        <v>0</v>
      </c>
      <c r="J269" t="str">
        <f t="shared" si="19"/>
        <v>COVID Period</v>
      </c>
    </row>
    <row r="270" spans="1:10" x14ac:dyDescent="0.35">
      <c r="A270" t="str">
        <f>'Row Data'!A270</f>
        <v>Urban</v>
      </c>
      <c r="B270">
        <f>'Row Data'!B270</f>
        <v>2020</v>
      </c>
      <c r="C270" t="str">
        <f>'Row Data'!C270</f>
        <v>July</v>
      </c>
      <c r="D270" s="2">
        <f>DATE(B270,MATCH(C270,{"January","February","March","April","May","June","July","August","September","October","November","December"},0),1)</f>
        <v>44013</v>
      </c>
      <c r="E270">
        <f>'Row Data'!AD270</f>
        <v>150.80000000000001</v>
      </c>
      <c r="F270" s="3">
        <f t="shared" si="16"/>
        <v>5.2337752965806006E-2</v>
      </c>
      <c r="G270" s="3">
        <f t="shared" si="17"/>
        <v>0</v>
      </c>
      <c r="H270">
        <f>'Row Data'!P270</f>
        <v>157</v>
      </c>
      <c r="I270" s="3">
        <f t="shared" si="18"/>
        <v>0</v>
      </c>
      <c r="J270" t="str">
        <f t="shared" si="19"/>
        <v>COVID Period</v>
      </c>
    </row>
    <row r="271" spans="1:10" x14ac:dyDescent="0.35">
      <c r="A271" t="str">
        <f>'Row Data'!A271</f>
        <v>Rural+Urban</v>
      </c>
      <c r="B271">
        <f>'Row Data'!B271</f>
        <v>2020</v>
      </c>
      <c r="C271" t="str">
        <f>'Row Data'!C271</f>
        <v>July</v>
      </c>
      <c r="D271" s="2">
        <f>DATE(B271,MATCH(C271,{"January","February","March","April","May","June","July","August","September","October","November","December"},0),1)</f>
        <v>44013</v>
      </c>
      <c r="E271">
        <f>'Row Data'!AD271</f>
        <v>151.80000000000001</v>
      </c>
      <c r="F271" s="3">
        <f t="shared" si="16"/>
        <v>5.2704576976421835E-2</v>
      </c>
      <c r="G271" s="3">
        <f t="shared" si="17"/>
        <v>0</v>
      </c>
      <c r="H271">
        <f>'Row Data'!P271</f>
        <v>154</v>
      </c>
      <c r="I271" s="3">
        <f t="shared" si="18"/>
        <v>0</v>
      </c>
      <c r="J271" t="str">
        <f t="shared" si="19"/>
        <v>COVID Period</v>
      </c>
    </row>
    <row r="272" spans="1:10" x14ac:dyDescent="0.35">
      <c r="A272" t="str">
        <f>'Row Data'!A272</f>
        <v>Rural</v>
      </c>
      <c r="B272">
        <f>'Row Data'!B272</f>
        <v>2020</v>
      </c>
      <c r="C272" t="str">
        <f>'Row Data'!C272</f>
        <v>August</v>
      </c>
      <c r="D272" s="2">
        <f>DATE(B272,MATCH(C272,{"January","February","March","April","May","June","July","August","September","October","November","December"},0),1)</f>
        <v>44044</v>
      </c>
      <c r="E272">
        <f>'Row Data'!AD272</f>
        <v>154.69999999999999</v>
      </c>
      <c r="F272" s="3">
        <f t="shared" si="16"/>
        <v>6.1770761839396116E-2</v>
      </c>
      <c r="G272" s="3">
        <f t="shared" si="17"/>
        <v>1.3097576948264633E-2</v>
      </c>
      <c r="H272">
        <f>'Row Data'!P272</f>
        <v>155.30000000000001</v>
      </c>
      <c r="I272" s="3">
        <f t="shared" si="18"/>
        <v>1.9697964543663904E-2</v>
      </c>
      <c r="J272" t="str">
        <f t="shared" si="19"/>
        <v>COVID Period</v>
      </c>
    </row>
    <row r="273" spans="1:10" x14ac:dyDescent="0.35">
      <c r="A273" t="str">
        <f>'Row Data'!A273</f>
        <v>Urban</v>
      </c>
      <c r="B273">
        <f>'Row Data'!B273</f>
        <v>2020</v>
      </c>
      <c r="C273" t="str">
        <f>'Row Data'!C273</f>
        <v>August</v>
      </c>
      <c r="D273" s="2">
        <f>DATE(B273,MATCH(C273,{"January","February","March","April","May","June","July","August","September","October","November","December"},0),1)</f>
        <v>44044</v>
      </c>
      <c r="E273">
        <f>'Row Data'!AD273</f>
        <v>152.9</v>
      </c>
      <c r="F273" s="3">
        <f t="shared" si="16"/>
        <v>6.0332871012482858E-2</v>
      </c>
      <c r="G273" s="3">
        <f t="shared" si="17"/>
        <v>1.392572944297088E-2</v>
      </c>
      <c r="H273">
        <f>'Row Data'!P273</f>
        <v>159.9</v>
      </c>
      <c r="I273" s="3">
        <f t="shared" si="18"/>
        <v>1.8471337579617941E-2</v>
      </c>
      <c r="J273" t="str">
        <f t="shared" si="19"/>
        <v>COVID Period</v>
      </c>
    </row>
    <row r="274" spans="1:10" x14ac:dyDescent="0.35">
      <c r="A274" t="str">
        <f>'Row Data'!A274</f>
        <v>Rural+Urban</v>
      </c>
      <c r="B274">
        <f>'Row Data'!B274</f>
        <v>2020</v>
      </c>
      <c r="C274" t="str">
        <f>'Row Data'!C274</f>
        <v>August</v>
      </c>
      <c r="D274" s="2">
        <f>DATE(B274,MATCH(C274,{"January","February","March","April","May","June","July","August","September","October","November","December"},0),1)</f>
        <v>44044</v>
      </c>
      <c r="E274">
        <f>'Row Data'!AD274</f>
        <v>153.9</v>
      </c>
      <c r="F274" s="3">
        <f t="shared" si="16"/>
        <v>6.1379310344827687E-2</v>
      </c>
      <c r="G274" s="3">
        <f t="shared" si="17"/>
        <v>1.383399209486158E-2</v>
      </c>
      <c r="H274">
        <f>'Row Data'!P274</f>
        <v>157</v>
      </c>
      <c r="I274" s="3">
        <f t="shared" si="18"/>
        <v>1.9480519480519431E-2</v>
      </c>
      <c r="J274" t="str">
        <f t="shared" si="19"/>
        <v>COVID Period</v>
      </c>
    </row>
    <row r="275" spans="1:10" x14ac:dyDescent="0.35">
      <c r="A275" t="str">
        <f>'Row Data'!A275</f>
        <v>Rural</v>
      </c>
      <c r="B275">
        <f>'Row Data'!B275</f>
        <v>2020</v>
      </c>
      <c r="C275" t="str">
        <f>'Row Data'!C275</f>
        <v>September</v>
      </c>
      <c r="D275" s="2">
        <f>DATE(B275,MATCH(C275,{"January","February","March","April","May","June","July","August","September","October","November","December"},0),1)</f>
        <v>44075</v>
      </c>
      <c r="E275">
        <f>'Row Data'!AD275</f>
        <v>155.4</v>
      </c>
      <c r="F275" s="3">
        <f t="shared" si="16"/>
        <v>5.9304703476482645E-2</v>
      </c>
      <c r="G275" s="3">
        <f t="shared" si="17"/>
        <v>4.5248868778282603E-3</v>
      </c>
      <c r="H275">
        <f>'Row Data'!P275</f>
        <v>156.1</v>
      </c>
      <c r="I275" s="3">
        <f t="shared" si="18"/>
        <v>5.1513200257564673E-3</v>
      </c>
      <c r="J275" t="str">
        <f t="shared" si="19"/>
        <v>COVID Period</v>
      </c>
    </row>
    <row r="276" spans="1:10" x14ac:dyDescent="0.35">
      <c r="A276" t="str">
        <f>'Row Data'!A276</f>
        <v>Urban</v>
      </c>
      <c r="B276">
        <f>'Row Data'!B276</f>
        <v>2020</v>
      </c>
      <c r="C276" t="str">
        <f>'Row Data'!C276</f>
        <v>September</v>
      </c>
      <c r="D276" s="2">
        <f>DATE(B276,MATCH(C276,{"January","February","March","April","May","June","July","August","September","October","November","December"},0),1)</f>
        <v>44075</v>
      </c>
      <c r="E276">
        <f>'Row Data'!AD276</f>
        <v>154</v>
      </c>
      <c r="F276" s="3">
        <f t="shared" si="16"/>
        <v>6.4270905321354599E-2</v>
      </c>
      <c r="G276" s="3">
        <f t="shared" si="17"/>
        <v>7.194244604316502E-3</v>
      </c>
      <c r="H276">
        <f>'Row Data'!P276</f>
        <v>161.30000000000001</v>
      </c>
      <c r="I276" s="3">
        <f t="shared" si="18"/>
        <v>8.7554721701064153E-3</v>
      </c>
      <c r="J276" t="str">
        <f t="shared" si="19"/>
        <v>COVID Period</v>
      </c>
    </row>
    <row r="277" spans="1:10" x14ac:dyDescent="0.35">
      <c r="A277" t="str">
        <f>'Row Data'!A277</f>
        <v>Rural+Urban</v>
      </c>
      <c r="B277">
        <f>'Row Data'!B277</f>
        <v>2020</v>
      </c>
      <c r="C277" t="str">
        <f>'Row Data'!C277</f>
        <v>September</v>
      </c>
      <c r="D277" s="2">
        <f>DATE(B277,MATCH(C277,{"January","February","March","April","May","June","July","August","September","October","November","December"},0),1)</f>
        <v>44075</v>
      </c>
      <c r="E277">
        <f>'Row Data'!AD277</f>
        <v>154.69999999999999</v>
      </c>
      <c r="F277" s="3">
        <f t="shared" si="16"/>
        <v>6.104252400548682E-2</v>
      </c>
      <c r="G277" s="3">
        <f t="shared" si="17"/>
        <v>5.1981806367771277E-3</v>
      </c>
      <c r="H277">
        <f>'Row Data'!P277</f>
        <v>158</v>
      </c>
      <c r="I277" s="3">
        <f t="shared" si="18"/>
        <v>6.3694267515923553E-3</v>
      </c>
      <c r="J277" t="str">
        <f t="shared" si="19"/>
        <v>COVID Period</v>
      </c>
    </row>
    <row r="278" spans="1:10" x14ac:dyDescent="0.35">
      <c r="A278" t="str">
        <f>'Row Data'!A278</f>
        <v>Rural</v>
      </c>
      <c r="B278">
        <f>'Row Data'!B278</f>
        <v>2020</v>
      </c>
      <c r="C278" t="str">
        <f>'Row Data'!C278</f>
        <v>October</v>
      </c>
      <c r="D278" s="2">
        <f>DATE(B278,MATCH(C278,{"January","February","March","April","May","June","July","August","September","October","November","December"},0),1)</f>
        <v>44105</v>
      </c>
      <c r="E278">
        <f>'Row Data'!AD278</f>
        <v>157.5</v>
      </c>
      <c r="F278" s="3">
        <f t="shared" si="16"/>
        <v>6.2036412677005881E-2</v>
      </c>
      <c r="G278" s="3">
        <f t="shared" si="17"/>
        <v>1.3513513513513375E-2</v>
      </c>
      <c r="H278">
        <f>'Row Data'!P278</f>
        <v>159.6</v>
      </c>
      <c r="I278" s="3">
        <f t="shared" si="18"/>
        <v>2.2421524663677195E-2</v>
      </c>
      <c r="J278" t="str">
        <f t="shared" si="19"/>
        <v>COVID Period</v>
      </c>
    </row>
    <row r="279" spans="1:10" x14ac:dyDescent="0.35">
      <c r="A279" t="str">
        <f>'Row Data'!A279</f>
        <v>Urban</v>
      </c>
      <c r="B279">
        <f>'Row Data'!B279</f>
        <v>2020</v>
      </c>
      <c r="C279" t="str">
        <f>'Row Data'!C279</f>
        <v>October</v>
      </c>
      <c r="D279" s="2">
        <f>DATE(B279,MATCH(C279,{"January","February","March","April","May","June","July","August","September","October","November","December"},0),1)</f>
        <v>44105</v>
      </c>
      <c r="E279">
        <f>'Row Data'!AD279</f>
        <v>155.19999999999999</v>
      </c>
      <c r="F279" s="3">
        <f t="shared" si="16"/>
        <v>6.3013698630136838E-2</v>
      </c>
      <c r="G279" s="3">
        <f t="shared" si="17"/>
        <v>7.7922077922076838E-3</v>
      </c>
      <c r="H279">
        <f>'Row Data'!P279</f>
        <v>164.4</v>
      </c>
      <c r="I279" s="3">
        <f t="shared" si="18"/>
        <v>1.9218846869187844E-2</v>
      </c>
      <c r="J279" t="str">
        <f t="shared" si="19"/>
        <v>COVID Period</v>
      </c>
    </row>
    <row r="280" spans="1:10" x14ac:dyDescent="0.35">
      <c r="A280" t="str">
        <f>'Row Data'!A280</f>
        <v>Rural+Urban</v>
      </c>
      <c r="B280">
        <f>'Row Data'!B280</f>
        <v>2020</v>
      </c>
      <c r="C280" t="str">
        <f>'Row Data'!C280</f>
        <v>October</v>
      </c>
      <c r="D280" s="2">
        <f>DATE(B280,MATCH(C280,{"January","February","March","April","May","June","July","August","September","October","November","December"},0),1)</f>
        <v>44105</v>
      </c>
      <c r="E280">
        <f>'Row Data'!AD280</f>
        <v>156.4</v>
      </c>
      <c r="F280" s="3">
        <f t="shared" si="16"/>
        <v>6.2500000000000222E-2</v>
      </c>
      <c r="G280" s="3">
        <f t="shared" si="17"/>
        <v>1.0989010989011172E-2</v>
      </c>
      <c r="H280">
        <f>'Row Data'!P280</f>
        <v>161.4</v>
      </c>
      <c r="I280" s="3">
        <f t="shared" si="18"/>
        <v>2.1518987341772267E-2</v>
      </c>
      <c r="J280" t="str">
        <f t="shared" si="19"/>
        <v>COVID Period</v>
      </c>
    </row>
    <row r="281" spans="1:10" x14ac:dyDescent="0.35">
      <c r="A281" t="str">
        <f>'Row Data'!A281</f>
        <v>Rural</v>
      </c>
      <c r="B281">
        <f>'Row Data'!B281</f>
        <v>2020</v>
      </c>
      <c r="C281" t="str">
        <f>'Row Data'!C281</f>
        <v>November</v>
      </c>
      <c r="D281" s="2">
        <f>DATE(B281,MATCH(C281,{"January","February","March","April","May","June","July","August","September","October","November","December"},0),1)</f>
        <v>44136</v>
      </c>
      <c r="E281">
        <f>'Row Data'!AD281</f>
        <v>159.80000000000001</v>
      </c>
      <c r="F281" s="3">
        <f t="shared" si="16"/>
        <v>6.6044029352901878E-2</v>
      </c>
      <c r="G281" s="3">
        <f t="shared" si="17"/>
        <v>1.4603174603174729E-2</v>
      </c>
      <c r="H281">
        <f>'Row Data'!P281</f>
        <v>163.4</v>
      </c>
      <c r="I281" s="3">
        <f t="shared" si="18"/>
        <v>2.3809523809523947E-2</v>
      </c>
      <c r="J281" t="str">
        <f t="shared" si="19"/>
        <v>COVID Period</v>
      </c>
    </row>
    <row r="282" spans="1:10" x14ac:dyDescent="0.35">
      <c r="A282" t="str">
        <f>'Row Data'!A282</f>
        <v>Urban</v>
      </c>
      <c r="B282">
        <f>'Row Data'!B282</f>
        <v>2020</v>
      </c>
      <c r="C282" t="str">
        <f>'Row Data'!C282</f>
        <v>November</v>
      </c>
      <c r="D282" s="2">
        <f>DATE(B282,MATCH(C282,{"January","February","March","April","May","June","July","August","September","October","November","December"},0),1)</f>
        <v>44136</v>
      </c>
      <c r="E282">
        <f>'Row Data'!AD282</f>
        <v>156.69999999999999</v>
      </c>
      <c r="F282" s="3">
        <f t="shared" si="16"/>
        <v>6.5986394557822958E-2</v>
      </c>
      <c r="G282" s="3">
        <f t="shared" si="17"/>
        <v>9.6649484536082131E-3</v>
      </c>
      <c r="H282">
        <f>'Row Data'!P282</f>
        <v>167</v>
      </c>
      <c r="I282" s="3">
        <f t="shared" si="18"/>
        <v>1.5815085158150888E-2</v>
      </c>
      <c r="J282" t="str">
        <f t="shared" si="19"/>
        <v>COVID Period</v>
      </c>
    </row>
    <row r="283" spans="1:10" x14ac:dyDescent="0.35">
      <c r="A283" t="str">
        <f>'Row Data'!A283</f>
        <v>Rural+Urban</v>
      </c>
      <c r="B283">
        <f>'Row Data'!B283</f>
        <v>2020</v>
      </c>
      <c r="C283" t="str">
        <f>'Row Data'!C283</f>
        <v>November</v>
      </c>
      <c r="D283" s="2">
        <f>DATE(B283,MATCH(C283,{"January","February","March","April","May","June","July","August","September","October","November","December"},0),1)</f>
        <v>44136</v>
      </c>
      <c r="E283">
        <f>'Row Data'!AD283</f>
        <v>158.4</v>
      </c>
      <c r="F283" s="3">
        <f t="shared" si="16"/>
        <v>6.5948855989232946E-2</v>
      </c>
      <c r="G283" s="3">
        <f t="shared" si="17"/>
        <v>1.2787723785166349E-2</v>
      </c>
      <c r="H283">
        <f>'Row Data'!P283</f>
        <v>164.7</v>
      </c>
      <c r="I283" s="3">
        <f t="shared" si="18"/>
        <v>2.0446096654274992E-2</v>
      </c>
      <c r="J283" t="str">
        <f t="shared" si="19"/>
        <v>COVID Period</v>
      </c>
    </row>
    <row r="284" spans="1:10" x14ac:dyDescent="0.35">
      <c r="A284" t="str">
        <f>'Row Data'!A284</f>
        <v>Rural</v>
      </c>
      <c r="B284">
        <f>'Row Data'!B284</f>
        <v>2020</v>
      </c>
      <c r="C284" t="str">
        <f>'Row Data'!C284</f>
        <v>December</v>
      </c>
      <c r="D284" s="2">
        <f>DATE(B284,MATCH(C284,{"January","February","March","April","May","June","July","August","September","October","November","December"},0),1)</f>
        <v>44166</v>
      </c>
      <c r="E284">
        <f>'Row Data'!AD284</f>
        <v>160.69999999999999</v>
      </c>
      <c r="F284" s="3">
        <f t="shared" si="16"/>
        <v>5.5154300722258576E-2</v>
      </c>
      <c r="G284" s="3">
        <f t="shared" si="17"/>
        <v>5.632040050062459E-3</v>
      </c>
      <c r="H284">
        <f>'Row Data'!P284</f>
        <v>164.5</v>
      </c>
      <c r="I284" s="3">
        <f t="shared" si="18"/>
        <v>6.7319461444308448E-3</v>
      </c>
      <c r="J284" t="str">
        <f t="shared" si="19"/>
        <v>COVID Period</v>
      </c>
    </row>
    <row r="285" spans="1:10" x14ac:dyDescent="0.35">
      <c r="A285" t="str">
        <f>'Row Data'!A285</f>
        <v>Urban</v>
      </c>
      <c r="B285">
        <f>'Row Data'!B285</f>
        <v>2020</v>
      </c>
      <c r="C285" t="str">
        <f>'Row Data'!C285</f>
        <v>December</v>
      </c>
      <c r="D285" s="2">
        <f>DATE(B285,MATCH(C285,{"January","February","March","April","May","June","July","August","September","October","November","December"},0),1)</f>
        <v>44166</v>
      </c>
      <c r="E285">
        <f>'Row Data'!AD285</f>
        <v>156.9</v>
      </c>
      <c r="F285" s="3">
        <f t="shared" si="16"/>
        <v>5.799055967633171E-2</v>
      </c>
      <c r="G285" s="3">
        <f t="shared" si="17"/>
        <v>1.2763241863433805E-3</v>
      </c>
      <c r="H285">
        <f>'Row Data'!P285</f>
        <v>167</v>
      </c>
      <c r="I285" s="3">
        <f t="shared" si="18"/>
        <v>0</v>
      </c>
      <c r="J285" t="str">
        <f t="shared" si="19"/>
        <v>COVID Period</v>
      </c>
    </row>
    <row r="286" spans="1:10" x14ac:dyDescent="0.35">
      <c r="A286" t="str">
        <f>'Row Data'!A286</f>
        <v>Rural+Urban</v>
      </c>
      <c r="B286">
        <f>'Row Data'!B286</f>
        <v>2020</v>
      </c>
      <c r="C286" t="str">
        <f>'Row Data'!C286</f>
        <v>December</v>
      </c>
      <c r="D286" s="2">
        <f>DATE(B286,MATCH(C286,{"January","February","March","April","May","June","July","August","September","October","November","December"},0),1)</f>
        <v>44166</v>
      </c>
      <c r="E286">
        <f>'Row Data'!AD286</f>
        <v>158.9</v>
      </c>
      <c r="F286" s="3">
        <f t="shared" si="16"/>
        <v>5.6515957446808596E-2</v>
      </c>
      <c r="G286" s="3">
        <f t="shared" si="17"/>
        <v>3.1565656565657463E-3</v>
      </c>
      <c r="H286">
        <f>'Row Data'!P286</f>
        <v>165.4</v>
      </c>
      <c r="I286" s="3">
        <f t="shared" si="18"/>
        <v>4.2501517911355258E-3</v>
      </c>
      <c r="J286" t="str">
        <f t="shared" si="19"/>
        <v>COVID Period</v>
      </c>
    </row>
    <row r="287" spans="1:10" x14ac:dyDescent="0.35">
      <c r="A287" t="str">
        <f>'Row Data'!A287</f>
        <v>Rural</v>
      </c>
      <c r="B287">
        <f>'Row Data'!B287</f>
        <v>2021</v>
      </c>
      <c r="C287" t="str">
        <f>'Row Data'!C287</f>
        <v>January</v>
      </c>
      <c r="D287" s="2">
        <f>DATE(B287,MATCH(C287,{"January","February","March","April","May","June","July","August","September","October","November","December"},0),1)</f>
        <v>44197</v>
      </c>
      <c r="E287">
        <f>'Row Data'!AD287</f>
        <v>158.5</v>
      </c>
      <c r="F287" s="3">
        <f t="shared" si="16"/>
        <v>4.3449637919684037E-2</v>
      </c>
      <c r="G287" s="3">
        <f t="shared" si="17"/>
        <v>-1.3690105787180995E-2</v>
      </c>
      <c r="H287">
        <f>'Row Data'!P287</f>
        <v>159.6</v>
      </c>
      <c r="I287" s="3">
        <f t="shared" si="18"/>
        <v>-2.9787234042553234E-2</v>
      </c>
      <c r="J287" t="str">
        <f t="shared" si="19"/>
        <v>COVID Period</v>
      </c>
    </row>
    <row r="288" spans="1:10" x14ac:dyDescent="0.35">
      <c r="A288" t="str">
        <f>'Row Data'!A288</f>
        <v>Urban</v>
      </c>
      <c r="B288">
        <f>'Row Data'!B288</f>
        <v>2021</v>
      </c>
      <c r="C288" t="str">
        <f>'Row Data'!C288</f>
        <v>January</v>
      </c>
      <c r="D288" s="2">
        <f>DATE(B288,MATCH(C288,{"January","February","March","April","May","June","July","August","September","October","November","December"},0),1)</f>
        <v>44197</v>
      </c>
      <c r="E288">
        <f>'Row Data'!AD288</f>
        <v>156</v>
      </c>
      <c r="F288" s="3">
        <f t="shared" si="16"/>
        <v>5.2631578947368585E-2</v>
      </c>
      <c r="G288" s="3">
        <f t="shared" si="17"/>
        <v>-5.7361376673040754E-3</v>
      </c>
      <c r="H288">
        <f>'Row Data'!P288</f>
        <v>163.4</v>
      </c>
      <c r="I288" s="3">
        <f t="shared" si="18"/>
        <v>-2.1556886227544925E-2</v>
      </c>
      <c r="J288" t="str">
        <f t="shared" si="19"/>
        <v>COVID Period</v>
      </c>
    </row>
    <row r="289" spans="1:10" x14ac:dyDescent="0.35">
      <c r="A289" t="str">
        <f>'Row Data'!A289</f>
        <v>Rural+Urban</v>
      </c>
      <c r="B289">
        <f>'Row Data'!B289</f>
        <v>2021</v>
      </c>
      <c r="C289" t="str">
        <f>'Row Data'!C289</f>
        <v>January</v>
      </c>
      <c r="D289" s="2">
        <f>DATE(B289,MATCH(C289,{"January","February","March","April","May","June","July","August","September","October","November","December"},0),1)</f>
        <v>44197</v>
      </c>
      <c r="E289">
        <f>'Row Data'!AD289</f>
        <v>157.30000000000001</v>
      </c>
      <c r="F289" s="3">
        <f t="shared" si="16"/>
        <v>4.7270306258322403E-2</v>
      </c>
      <c r="G289" s="3">
        <f t="shared" si="17"/>
        <v>-1.0069225928256764E-2</v>
      </c>
      <c r="H289">
        <f>'Row Data'!P289</f>
        <v>161</v>
      </c>
      <c r="I289" s="3">
        <f t="shared" si="18"/>
        <v>-2.6602176541717037E-2</v>
      </c>
      <c r="J289" t="str">
        <f t="shared" si="19"/>
        <v>COVID Period</v>
      </c>
    </row>
    <row r="290" spans="1:10" x14ac:dyDescent="0.35">
      <c r="A290" t="str">
        <f>'Row Data'!A290</f>
        <v>Rural</v>
      </c>
      <c r="B290">
        <f>'Row Data'!B290</f>
        <v>2021</v>
      </c>
      <c r="C290" t="str">
        <f>'Row Data'!C290</f>
        <v>February</v>
      </c>
      <c r="D290" s="2">
        <f>DATE(B290,MATCH(C290,{"January","February","March","April","May","June","July","August","September","October","November","December"},0),1)</f>
        <v>44228</v>
      </c>
      <c r="E290">
        <f>'Row Data'!AD290</f>
        <v>156.69999999999999</v>
      </c>
      <c r="F290" s="3">
        <f t="shared" si="16"/>
        <v>4.1888297872340274E-2</v>
      </c>
      <c r="G290" s="3">
        <f t="shared" si="17"/>
        <v>-1.1356466876971671E-2</v>
      </c>
      <c r="H290">
        <f>'Row Data'!P290</f>
        <v>154.69999999999999</v>
      </c>
      <c r="I290" s="3">
        <f t="shared" si="18"/>
        <v>-3.0701754385964897E-2</v>
      </c>
      <c r="J290" t="str">
        <f t="shared" si="19"/>
        <v>COVID Period</v>
      </c>
    </row>
    <row r="291" spans="1:10" x14ac:dyDescent="0.35">
      <c r="A291" t="str">
        <f>'Row Data'!A291</f>
        <v>Urban</v>
      </c>
      <c r="B291">
        <f>'Row Data'!B291</f>
        <v>2021</v>
      </c>
      <c r="C291" t="str">
        <f>'Row Data'!C291</f>
        <v>February</v>
      </c>
      <c r="D291" s="2">
        <f>DATE(B291,MATCH(C291,{"January","February","March","April","May","June","July","August","September","October","November","December"},0),1)</f>
        <v>44228</v>
      </c>
      <c r="E291">
        <f>'Row Data'!AD291</f>
        <v>156.5</v>
      </c>
      <c r="F291" s="3">
        <f t="shared" si="16"/>
        <v>5.9580230196343953E-2</v>
      </c>
      <c r="G291" s="3">
        <f t="shared" si="17"/>
        <v>3.2051282051281937E-3</v>
      </c>
      <c r="H291">
        <f>'Row Data'!P291</f>
        <v>160.80000000000001</v>
      </c>
      <c r="I291" s="3">
        <f t="shared" si="18"/>
        <v>-1.5911872705018371E-2</v>
      </c>
      <c r="J291" t="str">
        <f t="shared" si="19"/>
        <v>COVID Period</v>
      </c>
    </row>
    <row r="292" spans="1:10" x14ac:dyDescent="0.35">
      <c r="A292" t="str">
        <f>'Row Data'!A292</f>
        <v>Rural+Urban</v>
      </c>
      <c r="B292">
        <f>'Row Data'!B292</f>
        <v>2021</v>
      </c>
      <c r="C292" t="str">
        <f>'Row Data'!C292</f>
        <v>February</v>
      </c>
      <c r="D292" s="2">
        <f>DATE(B292,MATCH(C292,{"January","February","March","April","May","June","July","August","September","October","November","December"},0),1)</f>
        <v>44228</v>
      </c>
      <c r="E292">
        <f>'Row Data'!AD292</f>
        <v>156.6</v>
      </c>
      <c r="F292" s="3">
        <f t="shared" si="16"/>
        <v>5.0301810865191143E-2</v>
      </c>
      <c r="G292" s="3">
        <f t="shared" si="17"/>
        <v>-4.4500953591863901E-3</v>
      </c>
      <c r="H292">
        <f>'Row Data'!P292</f>
        <v>156.9</v>
      </c>
      <c r="I292" s="3">
        <f t="shared" si="18"/>
        <v>-2.5465838509316718E-2</v>
      </c>
      <c r="J292" t="str">
        <f t="shared" si="19"/>
        <v>COVID Period</v>
      </c>
    </row>
    <row r="293" spans="1:10" x14ac:dyDescent="0.35">
      <c r="A293" t="str">
        <f>'Row Data'!A293</f>
        <v>Rural</v>
      </c>
      <c r="B293">
        <f>'Row Data'!B293</f>
        <v>2021</v>
      </c>
      <c r="C293" t="str">
        <f>'Row Data'!C293</f>
        <v>March</v>
      </c>
      <c r="D293" s="2">
        <f>DATE(B293,MATCH(C293,{"January","February","March","April","May","June","July","August","September","October","November","December"},0),1)</f>
        <v>44256</v>
      </c>
      <c r="E293">
        <f>'Row Data'!AD293</f>
        <v>156.69999999999999</v>
      </c>
      <c r="F293" s="3">
        <f t="shared" si="16"/>
        <v>4.6061415220293611E-2</v>
      </c>
      <c r="G293" s="3">
        <f t="shared" si="17"/>
        <v>0</v>
      </c>
      <c r="H293">
        <f>'Row Data'!P293</f>
        <v>154.5</v>
      </c>
      <c r="I293" s="3">
        <f t="shared" si="18"/>
        <v>-1.2928248222364713E-3</v>
      </c>
      <c r="J293" t="str">
        <f t="shared" si="19"/>
        <v>COVID Period</v>
      </c>
    </row>
    <row r="294" spans="1:10" x14ac:dyDescent="0.35">
      <c r="A294" t="str">
        <f>'Row Data'!A294</f>
        <v>Urban</v>
      </c>
      <c r="B294">
        <f>'Row Data'!B294</f>
        <v>2021</v>
      </c>
      <c r="C294" t="str">
        <f>'Row Data'!C294</f>
        <v>March</v>
      </c>
      <c r="D294" s="2">
        <f>DATE(B294,MATCH(C294,{"January","February","March","April","May","June","July","August","September","October","November","December"},0),1)</f>
        <v>44256</v>
      </c>
      <c r="E294">
        <f>'Row Data'!AD294</f>
        <v>156.9</v>
      </c>
      <c r="F294" s="3">
        <f t="shared" si="16"/>
        <v>6.5173116089612959E-2</v>
      </c>
      <c r="G294" s="3">
        <f t="shared" si="17"/>
        <v>2.5559105431309792E-3</v>
      </c>
      <c r="H294">
        <f>'Row Data'!P294</f>
        <v>160.4</v>
      </c>
      <c r="I294" s="3">
        <f t="shared" si="18"/>
        <v>-2.4875621890547706E-3</v>
      </c>
      <c r="J294" t="str">
        <f t="shared" si="19"/>
        <v>COVID Period</v>
      </c>
    </row>
    <row r="295" spans="1:10" x14ac:dyDescent="0.35">
      <c r="A295" t="str">
        <f>'Row Data'!A295</f>
        <v>Rural+Urban</v>
      </c>
      <c r="B295">
        <f>'Row Data'!B295</f>
        <v>2021</v>
      </c>
      <c r="C295" t="str">
        <f>'Row Data'!C295</f>
        <v>March</v>
      </c>
      <c r="D295" s="2">
        <f>DATE(B295,MATCH(C295,{"January","February","March","April","May","June","July","August","September","October","November","December"},0),1)</f>
        <v>44256</v>
      </c>
      <c r="E295">
        <f>'Row Data'!AD295</f>
        <v>156.80000000000001</v>
      </c>
      <c r="F295" s="3">
        <f t="shared" si="16"/>
        <v>5.5181695827725585E-2</v>
      </c>
      <c r="G295" s="3">
        <f t="shared" si="17"/>
        <v>1.2771392081738497E-3</v>
      </c>
      <c r="H295">
        <f>'Row Data'!P295</f>
        <v>156.69999999999999</v>
      </c>
      <c r="I295" s="3">
        <f t="shared" si="18"/>
        <v>-1.274697259400992E-3</v>
      </c>
      <c r="J295" t="str">
        <f t="shared" si="19"/>
        <v>COVID Period</v>
      </c>
    </row>
    <row r="296" spans="1:10" x14ac:dyDescent="0.35">
      <c r="A296" t="str">
        <f>'Row Data'!A296</f>
        <v>Rural</v>
      </c>
      <c r="B296">
        <f>'Row Data'!B296</f>
        <v>2021</v>
      </c>
      <c r="C296" t="str">
        <f>'Row Data'!C296</f>
        <v>April</v>
      </c>
      <c r="D296" s="2">
        <f>DATE(B296,MATCH(C296,{"January","February","March","April","May","June","July","August","September","October","November","December"},0),1)</f>
        <v>44287</v>
      </c>
      <c r="E296">
        <f>'Row Data'!AD296</f>
        <v>157.6</v>
      </c>
      <c r="F296" s="3" t="str">
        <f t="shared" si="16"/>
        <v/>
      </c>
      <c r="G296" s="3">
        <f t="shared" si="17"/>
        <v>5.7434588385449903E-3</v>
      </c>
      <c r="H296">
        <f>'Row Data'!P296</f>
        <v>155.6</v>
      </c>
      <c r="I296" s="3">
        <f t="shared" si="18"/>
        <v>7.119741100323651E-3</v>
      </c>
      <c r="J296" t="str">
        <f t="shared" si="19"/>
        <v>COVID Period</v>
      </c>
    </row>
    <row r="297" spans="1:10" x14ac:dyDescent="0.35">
      <c r="A297" t="str">
        <f>'Row Data'!A297</f>
        <v>Urban</v>
      </c>
      <c r="B297">
        <f>'Row Data'!B297</f>
        <v>2021</v>
      </c>
      <c r="C297" t="str">
        <f>'Row Data'!C297</f>
        <v>April</v>
      </c>
      <c r="D297" s="2">
        <f>DATE(B297,MATCH(C297,{"January","February","March","April","May","June","July","August","September","October","November","December"},0),1)</f>
        <v>44287</v>
      </c>
      <c r="E297">
        <f>'Row Data'!AD297</f>
        <v>158</v>
      </c>
      <c r="F297" s="3" t="str">
        <f t="shared" si="16"/>
        <v/>
      </c>
      <c r="G297" s="3">
        <f t="shared" si="17"/>
        <v>7.0108349267048453E-3</v>
      </c>
      <c r="H297">
        <f>'Row Data'!P297</f>
        <v>162</v>
      </c>
      <c r="I297" s="3">
        <f t="shared" si="18"/>
        <v>9.9750623441396957E-3</v>
      </c>
      <c r="J297" t="str">
        <f t="shared" si="19"/>
        <v>COVID Period</v>
      </c>
    </row>
    <row r="298" spans="1:10" x14ac:dyDescent="0.35">
      <c r="A298" t="str">
        <f>'Row Data'!A298</f>
        <v>Rural+Urban</v>
      </c>
      <c r="B298">
        <f>'Row Data'!B298</f>
        <v>2021</v>
      </c>
      <c r="C298" t="str">
        <f>'Row Data'!C298</f>
        <v>April</v>
      </c>
      <c r="D298" s="2">
        <f>DATE(B298,MATCH(C298,{"January","February","March","April","May","June","July","August","September","October","November","December"},0),1)</f>
        <v>44287</v>
      </c>
      <c r="E298">
        <f>'Row Data'!AD298</f>
        <v>157.80000000000001</v>
      </c>
      <c r="F298" s="3" t="str">
        <f t="shared" si="16"/>
        <v/>
      </c>
      <c r="G298" s="3">
        <f t="shared" si="17"/>
        <v>6.3775510204082675E-3</v>
      </c>
      <c r="H298">
        <f>'Row Data'!P298</f>
        <v>158</v>
      </c>
      <c r="I298" s="3">
        <f t="shared" si="18"/>
        <v>8.2961072112317513E-3</v>
      </c>
      <c r="J298" t="str">
        <f t="shared" si="19"/>
        <v>COVID Period</v>
      </c>
    </row>
    <row r="299" spans="1:10" x14ac:dyDescent="0.35">
      <c r="A299" t="str">
        <f>'Row Data'!A299</f>
        <v>Rural</v>
      </c>
      <c r="B299">
        <f>'Row Data'!B299</f>
        <v>2021</v>
      </c>
      <c r="C299" t="str">
        <f>'Row Data'!C299</f>
        <v>May</v>
      </c>
      <c r="D299" s="2">
        <f>DATE(B299,MATCH(C299,{"January","February","March","April","May","June","July","August","September","October","November","December"},0),1)</f>
        <v>44317</v>
      </c>
      <c r="E299">
        <f>'Row Data'!AD299</f>
        <v>161.1</v>
      </c>
      <c r="F299" s="3" t="str">
        <f t="shared" si="16"/>
        <v/>
      </c>
      <c r="G299" s="3">
        <f t="shared" si="17"/>
        <v>2.2208121827411276E-2</v>
      </c>
      <c r="H299">
        <f>'Row Data'!P299</f>
        <v>158.69999999999999</v>
      </c>
      <c r="I299" s="3">
        <f t="shared" si="18"/>
        <v>1.9922879177377784E-2</v>
      </c>
      <c r="J299" t="str">
        <f t="shared" si="19"/>
        <v>COVID Period</v>
      </c>
    </row>
    <row r="300" spans="1:10" x14ac:dyDescent="0.35">
      <c r="A300" t="str">
        <f>'Row Data'!A300</f>
        <v>Urban</v>
      </c>
      <c r="B300">
        <f>'Row Data'!B300</f>
        <v>2021</v>
      </c>
      <c r="C300" t="str">
        <f>'Row Data'!C300</f>
        <v>May</v>
      </c>
      <c r="D300" s="2">
        <f>DATE(B300,MATCH(C300,{"January","February","March","April","May","June","July","August","September","October","November","December"},0),1)</f>
        <v>44317</v>
      </c>
      <c r="E300">
        <f>'Row Data'!AD300</f>
        <v>159.5</v>
      </c>
      <c r="F300" s="3" t="str">
        <f t="shared" si="16"/>
        <v/>
      </c>
      <c r="G300" s="3">
        <f t="shared" si="17"/>
        <v>9.493670886076E-3</v>
      </c>
      <c r="H300">
        <f>'Row Data'!P300</f>
        <v>164.2</v>
      </c>
      <c r="I300" s="3">
        <f t="shared" si="18"/>
        <v>1.3580246913580174E-2</v>
      </c>
      <c r="J300" t="str">
        <f t="shared" si="19"/>
        <v>COVID Period</v>
      </c>
    </row>
    <row r="301" spans="1:10" x14ac:dyDescent="0.35">
      <c r="A301" t="str">
        <f>'Row Data'!A301</f>
        <v>Rural+Urban</v>
      </c>
      <c r="B301">
        <f>'Row Data'!B301</f>
        <v>2021</v>
      </c>
      <c r="C301" t="str">
        <f>'Row Data'!C301</f>
        <v>May</v>
      </c>
      <c r="D301" s="2">
        <f>DATE(B301,MATCH(C301,{"January","February","March","April","May","June","July","August","September","October","November","December"},0),1)</f>
        <v>44317</v>
      </c>
      <c r="E301">
        <f>'Row Data'!AD301</f>
        <v>160.4</v>
      </c>
      <c r="F301" s="3" t="str">
        <f t="shared" si="16"/>
        <v/>
      </c>
      <c r="G301" s="3">
        <f t="shared" si="17"/>
        <v>1.6476552598225558E-2</v>
      </c>
      <c r="H301">
        <f>'Row Data'!P301</f>
        <v>160.69999999999999</v>
      </c>
      <c r="I301" s="3">
        <f t="shared" si="18"/>
        <v>1.7088607594936578E-2</v>
      </c>
      <c r="J301" t="str">
        <f t="shared" si="19"/>
        <v>COVID Period</v>
      </c>
    </row>
    <row r="302" spans="1:10" x14ac:dyDescent="0.35">
      <c r="A302" t="str">
        <f>'Row Data'!A302</f>
        <v>Rural</v>
      </c>
      <c r="B302">
        <f>'Row Data'!B302</f>
        <v>2021</v>
      </c>
      <c r="C302" t="str">
        <f>'Row Data'!C302</f>
        <v>June</v>
      </c>
      <c r="D302" s="2">
        <f>DATE(B302,MATCH(C302,{"January","February","March","April","May","June","July","August","September","October","November","December"},0),1)</f>
        <v>44348</v>
      </c>
      <c r="E302">
        <f>'Row Data'!AD302</f>
        <v>162.1</v>
      </c>
      <c r="F302" s="3">
        <f t="shared" si="16"/>
        <v>6.155861165684362E-2</v>
      </c>
      <c r="G302" s="3">
        <f t="shared" si="17"/>
        <v>6.2073246430789375E-3</v>
      </c>
      <c r="H302">
        <f>'Row Data'!P302</f>
        <v>160.5</v>
      </c>
      <c r="I302" s="3">
        <f t="shared" si="18"/>
        <v>1.1342155009451904E-2</v>
      </c>
      <c r="J302" t="str">
        <f t="shared" si="19"/>
        <v>COVID Period</v>
      </c>
    </row>
    <row r="303" spans="1:10" x14ac:dyDescent="0.35">
      <c r="A303" t="str">
        <f>'Row Data'!A303</f>
        <v>Urban</v>
      </c>
      <c r="B303">
        <f>'Row Data'!B303</f>
        <v>2021</v>
      </c>
      <c r="C303" t="str">
        <f>'Row Data'!C303</f>
        <v>June</v>
      </c>
      <c r="D303" s="2">
        <f>DATE(B303,MATCH(C303,{"January","February","March","April","May","June","July","August","September","October","November","December"},0),1)</f>
        <v>44348</v>
      </c>
      <c r="E303">
        <f>'Row Data'!AD303</f>
        <v>160.4</v>
      </c>
      <c r="F303" s="3">
        <f t="shared" si="16"/>
        <v>6.3660477453580944E-2</v>
      </c>
      <c r="G303" s="3">
        <f t="shared" si="17"/>
        <v>5.642633228840177E-3</v>
      </c>
      <c r="H303">
        <f>'Row Data'!P303</f>
        <v>166.2</v>
      </c>
      <c r="I303" s="3">
        <f t="shared" si="18"/>
        <v>1.2180267965895331E-2</v>
      </c>
      <c r="J303" t="str">
        <f t="shared" si="19"/>
        <v>COVID Period</v>
      </c>
    </row>
    <row r="304" spans="1:10" x14ac:dyDescent="0.35">
      <c r="A304" t="str">
        <f>'Row Data'!A304</f>
        <v>Rural+Urban</v>
      </c>
      <c r="B304">
        <f>'Row Data'!B304</f>
        <v>2021</v>
      </c>
      <c r="C304" t="str">
        <f>'Row Data'!C304</f>
        <v>June</v>
      </c>
      <c r="D304" s="2">
        <f>DATE(B304,MATCH(C304,{"January","February","March","April","May","June","July","August","September","October","November","December"},0),1)</f>
        <v>44348</v>
      </c>
      <c r="E304">
        <f>'Row Data'!AD304</f>
        <v>161.30000000000001</v>
      </c>
      <c r="F304" s="3">
        <f t="shared" si="16"/>
        <v>6.2582345191040778E-2</v>
      </c>
      <c r="G304" s="3">
        <f t="shared" si="17"/>
        <v>5.610972568578676E-3</v>
      </c>
      <c r="H304">
        <f>'Row Data'!P304</f>
        <v>162.6</v>
      </c>
      <c r="I304" s="3">
        <f t="shared" si="18"/>
        <v>1.1823273179838223E-2</v>
      </c>
      <c r="J304" t="str">
        <f t="shared" si="19"/>
        <v>COVID Period</v>
      </c>
    </row>
    <row r="305" spans="1:10" x14ac:dyDescent="0.35">
      <c r="A305" t="str">
        <f>'Row Data'!A305</f>
        <v>Rural</v>
      </c>
      <c r="B305">
        <f>'Row Data'!B305</f>
        <v>2021</v>
      </c>
      <c r="C305" t="str">
        <f>'Row Data'!C305</f>
        <v>July</v>
      </c>
      <c r="D305" s="2">
        <f>DATE(B305,MATCH(C305,{"January","February","March","April","May","June","July","August","September","October","November","December"},0),1)</f>
        <v>44378</v>
      </c>
      <c r="E305">
        <f>'Row Data'!AD305</f>
        <v>163.19999999999999</v>
      </c>
      <c r="F305" s="3">
        <f t="shared" si="16"/>
        <v>6.8762278978389046E-2</v>
      </c>
      <c r="G305" s="3">
        <f t="shared" si="17"/>
        <v>6.7859346082663752E-3</v>
      </c>
      <c r="H305">
        <f>'Row Data'!P305</f>
        <v>161.69999999999999</v>
      </c>
      <c r="I305" s="3">
        <f t="shared" si="18"/>
        <v>7.4766355140185592E-3</v>
      </c>
      <c r="J305" t="str">
        <f t="shared" si="19"/>
        <v>COVID Period</v>
      </c>
    </row>
    <row r="306" spans="1:10" x14ac:dyDescent="0.35">
      <c r="A306" t="str">
        <f>'Row Data'!A306</f>
        <v>Urban</v>
      </c>
      <c r="B306">
        <f>'Row Data'!B306</f>
        <v>2021</v>
      </c>
      <c r="C306" t="str">
        <f>'Row Data'!C306</f>
        <v>July</v>
      </c>
      <c r="D306" s="2">
        <f>DATE(B306,MATCH(C306,{"January","February","March","April","May","June","July","August","September","October","November","December"},0),1)</f>
        <v>44378</v>
      </c>
      <c r="E306">
        <f>'Row Data'!AD306</f>
        <v>161.80000000000001</v>
      </c>
      <c r="F306" s="3">
        <f t="shared" si="16"/>
        <v>7.2944297082228049E-2</v>
      </c>
      <c r="G306" s="3">
        <f t="shared" si="17"/>
        <v>8.7281795511222615E-3</v>
      </c>
      <c r="H306">
        <f>'Row Data'!P306</f>
        <v>167.9</v>
      </c>
      <c r="I306" s="3">
        <f t="shared" si="18"/>
        <v>1.0228640192539107E-2</v>
      </c>
      <c r="J306" t="str">
        <f t="shared" si="19"/>
        <v>COVID Period</v>
      </c>
    </row>
    <row r="307" spans="1:10" x14ac:dyDescent="0.35">
      <c r="A307" t="str">
        <f>'Row Data'!A307</f>
        <v>Rural+Urban</v>
      </c>
      <c r="B307">
        <f>'Row Data'!B307</f>
        <v>2021</v>
      </c>
      <c r="C307" t="str">
        <f>'Row Data'!C307</f>
        <v>July</v>
      </c>
      <c r="D307" s="2">
        <f>DATE(B307,MATCH(C307,{"January","February","March","April","May","June","July","August","September","October","November","December"},0),1)</f>
        <v>44378</v>
      </c>
      <c r="E307">
        <f>'Row Data'!AD307</f>
        <v>162.5</v>
      </c>
      <c r="F307" s="3">
        <f t="shared" si="16"/>
        <v>7.0487483530961681E-2</v>
      </c>
      <c r="G307" s="3">
        <f t="shared" si="17"/>
        <v>7.4395536267823914E-3</v>
      </c>
      <c r="H307">
        <f>'Row Data'!P307</f>
        <v>164</v>
      </c>
      <c r="I307" s="3">
        <f t="shared" si="18"/>
        <v>8.610086100861114E-3</v>
      </c>
      <c r="J307" t="str">
        <f t="shared" si="19"/>
        <v>COVID Period</v>
      </c>
    </row>
    <row r="308" spans="1:10" x14ac:dyDescent="0.35">
      <c r="A308" t="str">
        <f>'Row Data'!A308</f>
        <v>Rural</v>
      </c>
      <c r="B308">
        <f>'Row Data'!B308</f>
        <v>2021</v>
      </c>
      <c r="C308" t="str">
        <f>'Row Data'!C308</f>
        <v>August</v>
      </c>
      <c r="D308" s="2">
        <f>DATE(B308,MATCH(C308,{"January","February","March","April","May","June","July","August","September","October","November","December"},0),1)</f>
        <v>44409</v>
      </c>
      <c r="E308">
        <f>'Row Data'!AD308</f>
        <v>163.6</v>
      </c>
      <c r="F308" s="3">
        <f t="shared" si="16"/>
        <v>5.7530704589528137E-2</v>
      </c>
      <c r="G308" s="3">
        <f t="shared" si="17"/>
        <v>2.450980392156854E-3</v>
      </c>
      <c r="H308">
        <f>'Row Data'!P308</f>
        <v>161.80000000000001</v>
      </c>
      <c r="I308" s="3">
        <f t="shared" si="18"/>
        <v>6.1842918985788309E-4</v>
      </c>
      <c r="J308" t="str">
        <f t="shared" si="19"/>
        <v>COVID Period</v>
      </c>
    </row>
    <row r="309" spans="1:10" x14ac:dyDescent="0.35">
      <c r="A309" t="str">
        <f>'Row Data'!A309</f>
        <v>Urban</v>
      </c>
      <c r="B309">
        <f>'Row Data'!B309</f>
        <v>2021</v>
      </c>
      <c r="C309" t="str">
        <f>'Row Data'!C309</f>
        <v>August</v>
      </c>
      <c r="D309" s="2">
        <f>DATE(B309,MATCH(C309,{"January","February","March","April","May","June","July","August","September","October","November","December"},0),1)</f>
        <v>44409</v>
      </c>
      <c r="E309">
        <f>'Row Data'!AD309</f>
        <v>162.30000000000001</v>
      </c>
      <c r="F309" s="3">
        <f t="shared" si="16"/>
        <v>6.1478090255068674E-2</v>
      </c>
      <c r="G309" s="3">
        <f t="shared" si="17"/>
        <v>3.0902348578492056E-3</v>
      </c>
      <c r="H309">
        <f>'Row Data'!P309</f>
        <v>167.3</v>
      </c>
      <c r="I309" s="3">
        <f t="shared" si="18"/>
        <v>-3.5735556879094021E-3</v>
      </c>
      <c r="J309" t="str">
        <f t="shared" si="19"/>
        <v>COVID Period</v>
      </c>
    </row>
    <row r="310" spans="1:10" x14ac:dyDescent="0.35">
      <c r="A310" t="str">
        <f>'Row Data'!A310</f>
        <v>Rural+Urban</v>
      </c>
      <c r="B310">
        <f>'Row Data'!B310</f>
        <v>2021</v>
      </c>
      <c r="C310" t="str">
        <f>'Row Data'!C310</f>
        <v>August</v>
      </c>
      <c r="D310" s="2">
        <f>DATE(B310,MATCH(C310,{"January","February","March","April","May","June","July","August","September","October","November","December"},0),1)</f>
        <v>44409</v>
      </c>
      <c r="E310">
        <f>'Row Data'!AD310</f>
        <v>163.19999999999999</v>
      </c>
      <c r="F310" s="3">
        <f t="shared" si="16"/>
        <v>6.0428849902534054E-2</v>
      </c>
      <c r="G310" s="3">
        <f t="shared" si="17"/>
        <v>4.3076923076923457E-3</v>
      </c>
      <c r="H310">
        <f>'Row Data'!P310</f>
        <v>164</v>
      </c>
      <c r="I310" s="3">
        <f t="shared" si="18"/>
        <v>0</v>
      </c>
      <c r="J310" t="str">
        <f t="shared" si="19"/>
        <v>COVID Period</v>
      </c>
    </row>
    <row r="311" spans="1:10" x14ac:dyDescent="0.35">
      <c r="A311" t="str">
        <f>'Row Data'!A311</f>
        <v>Rural</v>
      </c>
      <c r="B311">
        <f>'Row Data'!B311</f>
        <v>2021</v>
      </c>
      <c r="C311" t="str">
        <f>'Row Data'!C311</f>
        <v>September</v>
      </c>
      <c r="D311" s="2">
        <f>DATE(B311,MATCH(C311,{"January","February","March","April","May","June","July","August","September","October","November","December"},0),1)</f>
        <v>44440</v>
      </c>
      <c r="E311">
        <f>'Row Data'!AD311</f>
        <v>164</v>
      </c>
      <c r="F311" s="3">
        <f t="shared" si="16"/>
        <v>5.5341055341055378E-2</v>
      </c>
      <c r="G311" s="3">
        <f t="shared" si="17"/>
        <v>2.4449877750611915E-3</v>
      </c>
      <c r="H311">
        <f>'Row Data'!P311</f>
        <v>162.1</v>
      </c>
      <c r="I311" s="3">
        <f t="shared" si="18"/>
        <v>1.8541409147094789E-3</v>
      </c>
      <c r="J311" t="str">
        <f t="shared" si="19"/>
        <v>COVID Period</v>
      </c>
    </row>
    <row r="312" spans="1:10" x14ac:dyDescent="0.35">
      <c r="A312" t="str">
        <f>'Row Data'!A312</f>
        <v>Urban</v>
      </c>
      <c r="B312">
        <f>'Row Data'!B312</f>
        <v>2021</v>
      </c>
      <c r="C312" t="str">
        <f>'Row Data'!C312</f>
        <v>September</v>
      </c>
      <c r="D312" s="2">
        <f>DATE(B312,MATCH(C312,{"January","February","March","April","May","June","July","August","September","October","November","December"},0),1)</f>
        <v>44440</v>
      </c>
      <c r="E312">
        <f>'Row Data'!AD312</f>
        <v>162.30000000000001</v>
      </c>
      <c r="F312" s="3">
        <f t="shared" si="16"/>
        <v>5.3896103896103886E-2</v>
      </c>
      <c r="G312" s="3">
        <f t="shared" si="17"/>
        <v>0</v>
      </c>
      <c r="H312">
        <f>'Row Data'!P312</f>
        <v>167.3</v>
      </c>
      <c r="I312" s="3">
        <f t="shared" si="18"/>
        <v>0</v>
      </c>
      <c r="J312" t="str">
        <f t="shared" si="19"/>
        <v>COVID Period</v>
      </c>
    </row>
    <row r="313" spans="1:10" x14ac:dyDescent="0.35">
      <c r="A313" t="str">
        <f>'Row Data'!A313</f>
        <v>Rural+Urban</v>
      </c>
      <c r="B313">
        <f>'Row Data'!B313</f>
        <v>2021</v>
      </c>
      <c r="C313" t="str">
        <f>'Row Data'!C313</f>
        <v>September</v>
      </c>
      <c r="D313" s="2">
        <f>DATE(B313,MATCH(C313,{"January","February","March","April","May","June","July","August","September","October","November","December"},0),1)</f>
        <v>44440</v>
      </c>
      <c r="E313">
        <f>'Row Data'!AD313</f>
        <v>163.19999999999999</v>
      </c>
      <c r="F313" s="3">
        <f t="shared" si="16"/>
        <v>5.4945054945054972E-2</v>
      </c>
      <c r="G313" s="3">
        <f t="shared" si="17"/>
        <v>0</v>
      </c>
      <c r="H313">
        <f>'Row Data'!P313</f>
        <v>164</v>
      </c>
      <c r="I313" s="3">
        <f t="shared" si="18"/>
        <v>0</v>
      </c>
      <c r="J313" t="str">
        <f t="shared" si="19"/>
        <v>COVID Period</v>
      </c>
    </row>
    <row r="314" spans="1:10" x14ac:dyDescent="0.35">
      <c r="A314" t="str">
        <f>'Row Data'!A314</f>
        <v>Rural</v>
      </c>
      <c r="B314">
        <f>'Row Data'!B314</f>
        <v>2021</v>
      </c>
      <c r="C314" t="str">
        <f>'Row Data'!C314</f>
        <v>October</v>
      </c>
      <c r="D314" s="2">
        <f>DATE(B314,MATCH(C314,{"January","February","March","April","May","June","July","August","September","October","November","December"},0),1)</f>
        <v>44470</v>
      </c>
      <c r="E314">
        <f>'Row Data'!AD314</f>
        <v>166.3</v>
      </c>
      <c r="F314" s="3">
        <f t="shared" si="16"/>
        <v>5.5873015873015852E-2</v>
      </c>
      <c r="G314" s="3">
        <f t="shared" si="17"/>
        <v>1.4024390243902563E-2</v>
      </c>
      <c r="H314">
        <f>'Row Data'!P314</f>
        <v>165.5</v>
      </c>
      <c r="I314" s="3">
        <f t="shared" si="18"/>
        <v>2.0974706971005563E-2</v>
      </c>
      <c r="J314" t="str">
        <f t="shared" si="19"/>
        <v>COVID Period</v>
      </c>
    </row>
    <row r="315" spans="1:10" x14ac:dyDescent="0.35">
      <c r="A315" t="str">
        <f>'Row Data'!A315</f>
        <v>Urban</v>
      </c>
      <c r="B315">
        <f>'Row Data'!B315</f>
        <v>2021</v>
      </c>
      <c r="C315" t="str">
        <f>'Row Data'!C315</f>
        <v>October</v>
      </c>
      <c r="D315" s="2">
        <f>DATE(B315,MATCH(C315,{"January","February","March","April","May","June","July","August","September","October","November","December"},0),1)</f>
        <v>44470</v>
      </c>
      <c r="E315">
        <f>'Row Data'!AD315</f>
        <v>164.6</v>
      </c>
      <c r="F315" s="3">
        <f t="shared" si="16"/>
        <v>6.0567010309278357E-2</v>
      </c>
      <c r="G315" s="3">
        <f t="shared" si="17"/>
        <v>1.4171287738755201E-2</v>
      </c>
      <c r="H315">
        <f>'Row Data'!P315</f>
        <v>171.5</v>
      </c>
      <c r="I315" s="3">
        <f t="shared" si="18"/>
        <v>2.5104602510460206E-2</v>
      </c>
      <c r="J315" t="str">
        <f t="shared" si="19"/>
        <v>COVID Period</v>
      </c>
    </row>
    <row r="316" spans="1:10" x14ac:dyDescent="0.35">
      <c r="A316" t="str">
        <f>'Row Data'!A316</f>
        <v>Rural+Urban</v>
      </c>
      <c r="B316">
        <f>'Row Data'!B316</f>
        <v>2021</v>
      </c>
      <c r="C316" t="str">
        <f>'Row Data'!C316</f>
        <v>October</v>
      </c>
      <c r="D316" s="2">
        <f>DATE(B316,MATCH(C316,{"January","February","March","April","May","June","July","August","September","October","November","December"},0),1)</f>
        <v>44470</v>
      </c>
      <c r="E316">
        <f>'Row Data'!AD316</f>
        <v>165.5</v>
      </c>
      <c r="F316" s="3">
        <f t="shared" si="16"/>
        <v>5.8184143222506313E-2</v>
      </c>
      <c r="G316" s="3">
        <f t="shared" si="17"/>
        <v>1.4093137254902022E-2</v>
      </c>
      <c r="H316">
        <f>'Row Data'!P316</f>
        <v>167.7</v>
      </c>
      <c r="I316" s="3">
        <f t="shared" si="18"/>
        <v>2.2560975609756007E-2</v>
      </c>
      <c r="J316" t="str">
        <f t="shared" si="19"/>
        <v>COVID Period</v>
      </c>
    </row>
    <row r="317" spans="1:10" x14ac:dyDescent="0.35">
      <c r="A317" t="str">
        <f>'Row Data'!A317</f>
        <v>Rural</v>
      </c>
      <c r="B317">
        <f>'Row Data'!B317</f>
        <v>2021</v>
      </c>
      <c r="C317" t="str">
        <f>'Row Data'!C317</f>
        <v>November</v>
      </c>
      <c r="D317" s="2">
        <f>DATE(B317,MATCH(C317,{"January","February","March","April","May","June","July","August","September","October","November","December"},0),1)</f>
        <v>44501</v>
      </c>
      <c r="E317">
        <f>'Row Data'!AD317</f>
        <v>167.6</v>
      </c>
      <c r="F317" s="3">
        <f t="shared" si="16"/>
        <v>4.8811013767208866E-2</v>
      </c>
      <c r="G317" s="3">
        <f t="shared" si="17"/>
        <v>7.8171978352374882E-3</v>
      </c>
      <c r="H317">
        <f>'Row Data'!P317</f>
        <v>167.5</v>
      </c>
      <c r="I317" s="3">
        <f t="shared" si="18"/>
        <v>1.2084592145015005E-2</v>
      </c>
      <c r="J317" t="str">
        <f t="shared" si="19"/>
        <v>COVID Period</v>
      </c>
    </row>
    <row r="318" spans="1:10" x14ac:dyDescent="0.35">
      <c r="A318" t="str">
        <f>'Row Data'!A318</f>
        <v>Urban</v>
      </c>
      <c r="B318">
        <f>'Row Data'!B318</f>
        <v>2021</v>
      </c>
      <c r="C318" t="str">
        <f>'Row Data'!C318</f>
        <v>November</v>
      </c>
      <c r="D318" s="2">
        <f>DATE(B318,MATCH(C318,{"January","February","March","April","May","June","July","August","September","October","November","December"},0),1)</f>
        <v>44501</v>
      </c>
      <c r="E318">
        <f>'Row Data'!AD318</f>
        <v>165.6</v>
      </c>
      <c r="F318" s="3">
        <f t="shared" si="16"/>
        <v>5.6796426292278213E-2</v>
      </c>
      <c r="G318" s="3">
        <f t="shared" si="17"/>
        <v>6.0753341433779084E-3</v>
      </c>
      <c r="H318">
        <f>'Row Data'!P318</f>
        <v>173.5</v>
      </c>
      <c r="I318" s="3">
        <f t="shared" si="18"/>
        <v>1.1661807580174877E-2</v>
      </c>
      <c r="J318" t="str">
        <f t="shared" si="19"/>
        <v>COVID Period</v>
      </c>
    </row>
    <row r="319" spans="1:10" x14ac:dyDescent="0.35">
      <c r="A319" t="str">
        <f>'Row Data'!A319</f>
        <v>Rural+Urban</v>
      </c>
      <c r="B319">
        <f>'Row Data'!B319</f>
        <v>2021</v>
      </c>
      <c r="C319" t="str">
        <f>'Row Data'!C319</f>
        <v>November</v>
      </c>
      <c r="D319" s="2">
        <f>DATE(B319,MATCH(C319,{"January","February","March","April","May","June","July","August","September","October","November","December"},0),1)</f>
        <v>44501</v>
      </c>
      <c r="E319">
        <f>'Row Data'!AD319</f>
        <v>166.7</v>
      </c>
      <c r="F319" s="3">
        <f t="shared" si="16"/>
        <v>5.2398989898989834E-2</v>
      </c>
      <c r="G319" s="3">
        <f t="shared" si="17"/>
        <v>7.2507552870089143E-3</v>
      </c>
      <c r="H319">
        <f>'Row Data'!P319</f>
        <v>169.7</v>
      </c>
      <c r="I319" s="3">
        <f t="shared" si="18"/>
        <v>1.1926058437686349E-2</v>
      </c>
      <c r="J319" t="str">
        <f t="shared" si="19"/>
        <v>COVID Period</v>
      </c>
    </row>
    <row r="320" spans="1:10" x14ac:dyDescent="0.35">
      <c r="A320" t="str">
        <f>'Row Data'!A320</f>
        <v>Rural</v>
      </c>
      <c r="B320">
        <f>'Row Data'!B320</f>
        <v>2021</v>
      </c>
      <c r="C320" t="str">
        <f>'Row Data'!C320</f>
        <v>December</v>
      </c>
      <c r="D320" s="2">
        <f>DATE(B320,MATCH(C320,{"January","February","March","April","May","June","July","August","September","October","November","December"},0),1)</f>
        <v>44531</v>
      </c>
      <c r="E320">
        <f>'Row Data'!AD320</f>
        <v>167</v>
      </c>
      <c r="F320" s="3">
        <f t="shared" si="16"/>
        <v>3.9203484754200435E-2</v>
      </c>
      <c r="G320" s="3">
        <f t="shared" si="17"/>
        <v>-3.5799522673031214E-3</v>
      </c>
      <c r="H320">
        <f>'Row Data'!P320</f>
        <v>165.8</v>
      </c>
      <c r="I320" s="3">
        <f t="shared" si="18"/>
        <v>-1.0149253731343233E-2</v>
      </c>
      <c r="J320" t="str">
        <f t="shared" si="19"/>
        <v>COVID Period</v>
      </c>
    </row>
    <row r="321" spans="1:10" x14ac:dyDescent="0.35">
      <c r="A321" t="str">
        <f>'Row Data'!A321</f>
        <v>Urban</v>
      </c>
      <c r="B321">
        <f>'Row Data'!B321</f>
        <v>2021</v>
      </c>
      <c r="C321" t="str">
        <f>'Row Data'!C321</f>
        <v>December</v>
      </c>
      <c r="D321" s="2">
        <f>DATE(B321,MATCH(C321,{"January","February","March","April","May","June","July","August","September","October","November","December"},0),1)</f>
        <v>44531</v>
      </c>
      <c r="E321">
        <f>'Row Data'!AD321</f>
        <v>165.2</v>
      </c>
      <c r="F321" s="3">
        <f t="shared" si="16"/>
        <v>5.2899936265137004E-2</v>
      </c>
      <c r="G321" s="3">
        <f t="shared" si="17"/>
        <v>-2.4154589371980784E-3</v>
      </c>
      <c r="H321">
        <f>'Row Data'!P321</f>
        <v>172.2</v>
      </c>
      <c r="I321" s="3">
        <f t="shared" si="18"/>
        <v>-7.4927953890490118E-3</v>
      </c>
      <c r="J321" t="str">
        <f t="shared" si="19"/>
        <v>COVID Period</v>
      </c>
    </row>
    <row r="322" spans="1:10" x14ac:dyDescent="0.35">
      <c r="A322" t="str">
        <f>'Row Data'!A322</f>
        <v>Rural+Urban</v>
      </c>
      <c r="B322">
        <f>'Row Data'!B322</f>
        <v>2021</v>
      </c>
      <c r="C322" t="str">
        <f>'Row Data'!C322</f>
        <v>December</v>
      </c>
      <c r="D322" s="2">
        <f>DATE(B322,MATCH(C322,{"January","February","March","April","May","June","July","August","September","October","November","December"},0),1)</f>
        <v>44531</v>
      </c>
      <c r="E322">
        <f>'Row Data'!AD322</f>
        <v>166.2</v>
      </c>
      <c r="F322" s="3">
        <f t="shared" ref="F322:F373" si="20">IFERROR(E322/SUMIFS($E:$E,$A:$A,A322,$B:$B,B322-1,$C:$C,C322)-1,"")</f>
        <v>4.5940843297671341E-2</v>
      </c>
      <c r="G322" s="3">
        <f t="shared" ref="G322:G373" si="21">IFERROR(E322/SUMIFS($E:$E,$A:$A,A322,$D:$D,EDATE(D322,-1))-1,"")</f>
        <v>-2.9994001199760145E-3</v>
      </c>
      <c r="H322">
        <f>'Row Data'!P322</f>
        <v>168.2</v>
      </c>
      <c r="I322" s="3">
        <f t="shared" ref="I322:I373" si="22">IFERROR(H322/SUMIFS($H:$H,$A:$A,A322,$D:$D,EDATE(D322,-1))-1,"")</f>
        <v>-8.8391278727165679E-3</v>
      </c>
      <c r="J322" t="str">
        <f t="shared" ref="J322:J373" si="23">IF(D322&lt;DATE(2020,3,1),"Pre-COVID",IF(D322=DATE(2020,3,1),"COVID Onset / Mar-20",IF(D322&lt;=DATE(2021,12,31),"COVID Period","Post-COVID")))</f>
        <v>COVID Period</v>
      </c>
    </row>
    <row r="323" spans="1:10" x14ac:dyDescent="0.35">
      <c r="A323" t="str">
        <f>'Row Data'!A323</f>
        <v>Rural</v>
      </c>
      <c r="B323">
        <f>'Row Data'!B323</f>
        <v>2022</v>
      </c>
      <c r="C323" t="str">
        <f>'Row Data'!C323</f>
        <v>January</v>
      </c>
      <c r="D323" s="2">
        <f>DATE(B323,MATCH(C323,{"January","February","March","April","May","June","July","August","September","October","November","December"},0),1)</f>
        <v>44562</v>
      </c>
      <c r="E323">
        <f>'Row Data'!AD323</f>
        <v>166.4</v>
      </c>
      <c r="F323" s="3">
        <f t="shared" si="20"/>
        <v>4.9842271293375484E-2</v>
      </c>
      <c r="G323" s="3">
        <f t="shared" si="21"/>
        <v>-3.5928143712574689E-3</v>
      </c>
      <c r="H323">
        <f>'Row Data'!P323</f>
        <v>164.1</v>
      </c>
      <c r="I323" s="3">
        <f t="shared" si="22"/>
        <v>-1.0253317249698579E-2</v>
      </c>
      <c r="J323" t="str">
        <f t="shared" si="23"/>
        <v>Post-COVID</v>
      </c>
    </row>
    <row r="324" spans="1:10" x14ac:dyDescent="0.35">
      <c r="A324" t="str">
        <f>'Row Data'!A324</f>
        <v>Urban</v>
      </c>
      <c r="B324">
        <f>'Row Data'!B324</f>
        <v>2022</v>
      </c>
      <c r="C324" t="str">
        <f>'Row Data'!C324</f>
        <v>January</v>
      </c>
      <c r="D324" s="2">
        <f>DATE(B324,MATCH(C324,{"January","February","March","April","May","June","July","August","September","October","November","December"},0),1)</f>
        <v>44562</v>
      </c>
      <c r="E324">
        <f>'Row Data'!AD324</f>
        <v>165</v>
      </c>
      <c r="F324" s="3">
        <f t="shared" si="20"/>
        <v>5.7692307692307709E-2</v>
      </c>
      <c r="G324" s="3">
        <f t="shared" si="21"/>
        <v>-1.210653753026536E-3</v>
      </c>
      <c r="H324">
        <f>'Row Data'!P324</f>
        <v>170.3</v>
      </c>
      <c r="I324" s="3">
        <f t="shared" si="22"/>
        <v>-1.1033681765388992E-2</v>
      </c>
      <c r="J324" t="str">
        <f t="shared" si="23"/>
        <v>Post-COVID</v>
      </c>
    </row>
    <row r="325" spans="1:10" x14ac:dyDescent="0.35">
      <c r="A325" t="str">
        <f>'Row Data'!A325</f>
        <v>Rural+Urban</v>
      </c>
      <c r="B325">
        <f>'Row Data'!B325</f>
        <v>2022</v>
      </c>
      <c r="C325" t="str">
        <f>'Row Data'!C325</f>
        <v>January</v>
      </c>
      <c r="D325" s="2">
        <f>DATE(B325,MATCH(C325,{"January","February","March","April","May","June","July","August","September","October","November","December"},0),1)</f>
        <v>44562</v>
      </c>
      <c r="E325">
        <f>'Row Data'!AD325</f>
        <v>165.7</v>
      </c>
      <c r="F325" s="3">
        <f t="shared" si="20"/>
        <v>5.3401144310235127E-2</v>
      </c>
      <c r="G325" s="3">
        <f t="shared" si="21"/>
        <v>-3.0084235860409203E-3</v>
      </c>
      <c r="H325">
        <f>'Row Data'!P325</f>
        <v>166.4</v>
      </c>
      <c r="I325" s="3">
        <f t="shared" si="22"/>
        <v>-1.0701545778834642E-2</v>
      </c>
      <c r="J325" t="str">
        <f t="shared" si="23"/>
        <v>Post-COVID</v>
      </c>
    </row>
    <row r="326" spans="1:10" x14ac:dyDescent="0.35">
      <c r="A326" t="str">
        <f>'Row Data'!A326</f>
        <v>Rural</v>
      </c>
      <c r="B326">
        <f>'Row Data'!B326</f>
        <v>2022</v>
      </c>
      <c r="C326" t="str">
        <f>'Row Data'!C326</f>
        <v>February</v>
      </c>
      <c r="D326" s="2">
        <f>DATE(B326,MATCH(C326,{"January","February","March","April","May","June","July","August","September","October","November","December"},0),1)</f>
        <v>44593</v>
      </c>
      <c r="E326">
        <f>'Row Data'!AD326</f>
        <v>166.7</v>
      </c>
      <c r="F326" s="3">
        <f t="shared" si="20"/>
        <v>6.3816209317166583E-2</v>
      </c>
      <c r="G326" s="3">
        <f t="shared" si="21"/>
        <v>1.8028846153845812E-3</v>
      </c>
      <c r="H326">
        <f>'Row Data'!P326</f>
        <v>163.9</v>
      </c>
      <c r="I326" s="3">
        <f t="shared" si="22"/>
        <v>-1.2187690432662324E-3</v>
      </c>
      <c r="J326" t="str">
        <f t="shared" si="23"/>
        <v>Post-COVID</v>
      </c>
    </row>
    <row r="327" spans="1:10" x14ac:dyDescent="0.35">
      <c r="A327" t="str">
        <f>'Row Data'!A327</f>
        <v>Urban</v>
      </c>
      <c r="B327">
        <f>'Row Data'!B327</f>
        <v>2022</v>
      </c>
      <c r="C327" t="str">
        <f>'Row Data'!C327</f>
        <v>February</v>
      </c>
      <c r="D327" s="2">
        <f>DATE(B327,MATCH(C327,{"January","February","March","April","May","June","July","August","September","October","November","December"},0),1)</f>
        <v>44593</v>
      </c>
      <c r="E327">
        <f>'Row Data'!AD327</f>
        <v>165.5</v>
      </c>
      <c r="F327" s="3">
        <f t="shared" si="20"/>
        <v>5.7507987220447365E-2</v>
      </c>
      <c r="G327" s="3">
        <f t="shared" si="21"/>
        <v>3.0303030303029388E-3</v>
      </c>
      <c r="H327">
        <f>'Row Data'!P327</f>
        <v>170.2</v>
      </c>
      <c r="I327" s="3">
        <f t="shared" si="22"/>
        <v>-5.8719906048165793E-4</v>
      </c>
      <c r="J327" t="str">
        <f t="shared" si="23"/>
        <v>Post-COVID</v>
      </c>
    </row>
    <row r="328" spans="1:10" x14ac:dyDescent="0.35">
      <c r="A328" t="str">
        <f>'Row Data'!A328</f>
        <v>Rural+Urban</v>
      </c>
      <c r="B328">
        <f>'Row Data'!B328</f>
        <v>2022</v>
      </c>
      <c r="C328" t="str">
        <f>'Row Data'!C328</f>
        <v>February</v>
      </c>
      <c r="D328" s="2">
        <f>DATE(B328,MATCH(C328,{"January","February","March","April","May","June","July","August","September","October","November","December"},0),1)</f>
        <v>44593</v>
      </c>
      <c r="E328">
        <f>'Row Data'!AD328</f>
        <v>166.1</v>
      </c>
      <c r="F328" s="3">
        <f t="shared" si="20"/>
        <v>6.0664112388250313E-2</v>
      </c>
      <c r="G328" s="3">
        <f t="shared" si="21"/>
        <v>2.4140012070006378E-3</v>
      </c>
      <c r="H328">
        <f>'Row Data'!P328</f>
        <v>166.2</v>
      </c>
      <c r="I328" s="3">
        <f t="shared" si="22"/>
        <v>-1.2019230769231282E-3</v>
      </c>
      <c r="J328" t="str">
        <f t="shared" si="23"/>
        <v>Post-COVID</v>
      </c>
    </row>
    <row r="329" spans="1:10" x14ac:dyDescent="0.35">
      <c r="A329" t="str">
        <f>'Row Data'!A329</f>
        <v>Rural</v>
      </c>
      <c r="B329">
        <f>'Row Data'!B329</f>
        <v>2022</v>
      </c>
      <c r="C329" t="str">
        <f>'Row Data'!C329</f>
        <v>March</v>
      </c>
      <c r="D329" s="2">
        <f>DATE(B329,MATCH(C329,{"January","February","March","April","May","June","July","August","September","October","November","December"},0),1)</f>
        <v>44621</v>
      </c>
      <c r="E329">
        <f>'Row Data'!AD329</f>
        <v>168.7</v>
      </c>
      <c r="F329" s="3">
        <f t="shared" si="20"/>
        <v>7.6579451180599944E-2</v>
      </c>
      <c r="G329" s="3">
        <f t="shared" si="21"/>
        <v>1.1997600479904058E-2</v>
      </c>
      <c r="H329">
        <f>'Row Data'!P329</f>
        <v>166.6</v>
      </c>
      <c r="I329" s="3">
        <f t="shared" si="22"/>
        <v>1.6473459426479486E-2</v>
      </c>
      <c r="J329" t="str">
        <f t="shared" si="23"/>
        <v>Post-COVID</v>
      </c>
    </row>
    <row r="330" spans="1:10" x14ac:dyDescent="0.35">
      <c r="A330" t="str">
        <f>'Row Data'!A330</f>
        <v>Urban</v>
      </c>
      <c r="B330">
        <f>'Row Data'!B330</f>
        <v>2022</v>
      </c>
      <c r="C330" t="str">
        <f>'Row Data'!C330</f>
        <v>March</v>
      </c>
      <c r="D330" s="2">
        <f>DATE(B330,MATCH(C330,{"January","February","March","April","May","June","July","August","September","October","November","December"},0),1)</f>
        <v>44621</v>
      </c>
      <c r="E330">
        <f>'Row Data'!AD330</f>
        <v>166.5</v>
      </c>
      <c r="F330" s="3">
        <f t="shared" si="20"/>
        <v>6.118546845124273E-2</v>
      </c>
      <c r="G330" s="3">
        <f t="shared" si="21"/>
        <v>6.0422960725075026E-3</v>
      </c>
      <c r="H330">
        <f>'Row Data'!P330</f>
        <v>171.5</v>
      </c>
      <c r="I330" s="3">
        <f t="shared" si="22"/>
        <v>7.6380728554641397E-3</v>
      </c>
      <c r="J330" t="str">
        <f t="shared" si="23"/>
        <v>Post-COVID</v>
      </c>
    </row>
    <row r="331" spans="1:10" x14ac:dyDescent="0.35">
      <c r="A331" t="str">
        <f>'Row Data'!A331</f>
        <v>Rural+Urban</v>
      </c>
      <c r="B331">
        <f>'Row Data'!B331</f>
        <v>2022</v>
      </c>
      <c r="C331" t="str">
        <f>'Row Data'!C331</f>
        <v>March</v>
      </c>
      <c r="D331" s="2">
        <f>DATE(B331,MATCH(C331,{"January","February","March","April","May","June","July","August","September","October","November","December"},0),1)</f>
        <v>44621</v>
      </c>
      <c r="E331">
        <f>'Row Data'!AD331</f>
        <v>167.7</v>
      </c>
      <c r="F331" s="3">
        <f t="shared" si="20"/>
        <v>6.9515306122448939E-2</v>
      </c>
      <c r="G331" s="3">
        <f t="shared" si="21"/>
        <v>9.6327513546057286E-3</v>
      </c>
      <c r="H331">
        <f>'Row Data'!P331</f>
        <v>168.4</v>
      </c>
      <c r="I331" s="3">
        <f t="shared" si="22"/>
        <v>1.3237063778580138E-2</v>
      </c>
      <c r="J331" t="str">
        <f t="shared" si="23"/>
        <v>Post-COVID</v>
      </c>
    </row>
    <row r="332" spans="1:10" x14ac:dyDescent="0.35">
      <c r="A332" t="str">
        <f>'Row Data'!A332</f>
        <v>Rural</v>
      </c>
      <c r="B332">
        <f>'Row Data'!B332</f>
        <v>2022</v>
      </c>
      <c r="C332" t="str">
        <f>'Row Data'!C332</f>
        <v>April</v>
      </c>
      <c r="D332" s="2">
        <f>DATE(B332,MATCH(C332,{"January","February","March","April","May","June","July","August","September","October","November","December"},0),1)</f>
        <v>44652</v>
      </c>
      <c r="E332">
        <f>'Row Data'!AD332</f>
        <v>170.8</v>
      </c>
      <c r="F332" s="3">
        <f t="shared" si="20"/>
        <v>8.3756345177665059E-2</v>
      </c>
      <c r="G332" s="3">
        <f t="shared" si="21"/>
        <v>1.2448132780083165E-2</v>
      </c>
      <c r="H332">
        <f>'Row Data'!P332</f>
        <v>168.6</v>
      </c>
      <c r="I332" s="3">
        <f t="shared" si="22"/>
        <v>1.200480192076836E-2</v>
      </c>
      <c r="J332" t="str">
        <f t="shared" si="23"/>
        <v>Post-COVID</v>
      </c>
    </row>
    <row r="333" spans="1:10" x14ac:dyDescent="0.35">
      <c r="A333" t="str">
        <f>'Row Data'!A333</f>
        <v>Urban</v>
      </c>
      <c r="B333">
        <f>'Row Data'!B333</f>
        <v>2022</v>
      </c>
      <c r="C333" t="str">
        <f>'Row Data'!C333</f>
        <v>April</v>
      </c>
      <c r="D333" s="2">
        <f>DATE(B333,MATCH(C333,{"January","February","March","April","May","June","July","August","September","October","November","December"},0),1)</f>
        <v>44652</v>
      </c>
      <c r="E333">
        <f>'Row Data'!AD333</f>
        <v>169.2</v>
      </c>
      <c r="F333" s="3">
        <f t="shared" si="20"/>
        <v>7.0886075949367022E-2</v>
      </c>
      <c r="G333" s="3">
        <f t="shared" si="21"/>
        <v>1.6216216216216051E-2</v>
      </c>
      <c r="H333">
        <f>'Row Data'!P333</f>
        <v>174.5</v>
      </c>
      <c r="I333" s="3">
        <f t="shared" si="22"/>
        <v>1.7492711370262315E-2</v>
      </c>
      <c r="J333" t="str">
        <f t="shared" si="23"/>
        <v>Post-COVID</v>
      </c>
    </row>
    <row r="334" spans="1:10" x14ac:dyDescent="0.35">
      <c r="A334" t="str">
        <f>'Row Data'!A334</f>
        <v>Rural+Urban</v>
      </c>
      <c r="B334">
        <f>'Row Data'!B334</f>
        <v>2022</v>
      </c>
      <c r="C334" t="str">
        <f>'Row Data'!C334</f>
        <v>April</v>
      </c>
      <c r="D334" s="2">
        <f>DATE(B334,MATCH(C334,{"January","February","March","April","May","June","July","August","September","October","November","December"},0),1)</f>
        <v>44652</v>
      </c>
      <c r="E334">
        <f>'Row Data'!AD334</f>
        <v>170.1</v>
      </c>
      <c r="F334" s="3">
        <f t="shared" si="20"/>
        <v>7.7946768060836336E-2</v>
      </c>
      <c r="G334" s="3">
        <f t="shared" si="21"/>
        <v>1.4311270125223707E-2</v>
      </c>
      <c r="H334">
        <f>'Row Data'!P334</f>
        <v>170.8</v>
      </c>
      <c r="I334" s="3">
        <f t="shared" si="22"/>
        <v>1.4251781472684133E-2</v>
      </c>
      <c r="J334" t="str">
        <f t="shared" si="23"/>
        <v>Post-COVID</v>
      </c>
    </row>
    <row r="335" spans="1:10" x14ac:dyDescent="0.35">
      <c r="A335" t="str">
        <f>'Row Data'!A335</f>
        <v>Rural</v>
      </c>
      <c r="B335">
        <f>'Row Data'!B335</f>
        <v>2022</v>
      </c>
      <c r="C335" t="str">
        <f>'Row Data'!C335</f>
        <v>May</v>
      </c>
      <c r="D335" s="2">
        <f>DATE(B335,MATCH(C335,{"January","February","March","April","May","June","July","August","September","October","November","December"},0),1)</f>
        <v>44682</v>
      </c>
      <c r="E335">
        <f>'Row Data'!AD335</f>
        <v>172.5</v>
      </c>
      <c r="F335" s="3">
        <f t="shared" si="20"/>
        <v>7.0763500931098733E-2</v>
      </c>
      <c r="G335" s="3">
        <f t="shared" si="21"/>
        <v>9.9531615925056993E-3</v>
      </c>
      <c r="H335">
        <f>'Row Data'!P335</f>
        <v>170.8</v>
      </c>
      <c r="I335" s="3">
        <f t="shared" si="22"/>
        <v>1.3048635824436605E-2</v>
      </c>
      <c r="J335" t="str">
        <f t="shared" si="23"/>
        <v>Post-COVID</v>
      </c>
    </row>
    <row r="336" spans="1:10" x14ac:dyDescent="0.35">
      <c r="A336" t="str">
        <f>'Row Data'!A336</f>
        <v>Urban</v>
      </c>
      <c r="B336">
        <f>'Row Data'!B336</f>
        <v>2022</v>
      </c>
      <c r="C336" t="str">
        <f>'Row Data'!C336</f>
        <v>May</v>
      </c>
      <c r="D336" s="2">
        <f>DATE(B336,MATCH(C336,{"January","February","March","April","May","June","July","August","September","October","November","December"},0),1)</f>
        <v>44682</v>
      </c>
      <c r="E336">
        <f>'Row Data'!AD336</f>
        <v>170.8</v>
      </c>
      <c r="F336" s="3">
        <f t="shared" si="20"/>
        <v>7.08463949843261E-2</v>
      </c>
      <c r="G336" s="3">
        <f t="shared" si="21"/>
        <v>9.4562647754139473E-3</v>
      </c>
      <c r="H336">
        <f>'Row Data'!P336</f>
        <v>177.5</v>
      </c>
      <c r="I336" s="3">
        <f t="shared" si="22"/>
        <v>1.7191977077363862E-2</v>
      </c>
      <c r="J336" t="str">
        <f t="shared" si="23"/>
        <v>Post-COVID</v>
      </c>
    </row>
    <row r="337" spans="1:10" x14ac:dyDescent="0.35">
      <c r="A337" t="str">
        <f>'Row Data'!A337</f>
        <v>Rural+Urban</v>
      </c>
      <c r="B337">
        <f>'Row Data'!B337</f>
        <v>2022</v>
      </c>
      <c r="C337" t="str">
        <f>'Row Data'!C337</f>
        <v>May</v>
      </c>
      <c r="D337" s="2">
        <f>DATE(B337,MATCH(C337,{"January","February","March","April","May","June","July","August","September","October","November","December"},0),1)</f>
        <v>44682</v>
      </c>
      <c r="E337">
        <f>'Row Data'!AD337</f>
        <v>171.7</v>
      </c>
      <c r="F337" s="3">
        <f t="shared" si="20"/>
        <v>7.0448877805486143E-2</v>
      </c>
      <c r="G337" s="3">
        <f t="shared" si="21"/>
        <v>9.4062316284537761E-3</v>
      </c>
      <c r="H337">
        <f>'Row Data'!P337</f>
        <v>173.3</v>
      </c>
      <c r="I337" s="3">
        <f t="shared" si="22"/>
        <v>1.4637002341920446E-2</v>
      </c>
      <c r="J337" t="str">
        <f t="shared" si="23"/>
        <v>Post-COVID</v>
      </c>
    </row>
    <row r="338" spans="1:10" x14ac:dyDescent="0.35">
      <c r="A338" t="str">
        <f>'Row Data'!A338</f>
        <v>Rural</v>
      </c>
      <c r="B338">
        <f>'Row Data'!B338</f>
        <v>2022</v>
      </c>
      <c r="C338" t="str">
        <f>'Row Data'!C338</f>
        <v>June</v>
      </c>
      <c r="D338" s="2">
        <f>DATE(B338,MATCH(C338,{"January","February","March","April","May","June","July","August","September","October","November","December"},0),1)</f>
        <v>44713</v>
      </c>
      <c r="E338">
        <f>'Row Data'!AD338</f>
        <v>173.6</v>
      </c>
      <c r="F338" s="3">
        <f t="shared" si="20"/>
        <v>7.0943861813695275E-2</v>
      </c>
      <c r="G338" s="3">
        <f t="shared" si="21"/>
        <v>6.3768115942028913E-3</v>
      </c>
      <c r="H338">
        <f>'Row Data'!P338</f>
        <v>172.4</v>
      </c>
      <c r="I338" s="3">
        <f t="shared" si="22"/>
        <v>9.3676814988290502E-3</v>
      </c>
      <c r="J338" t="str">
        <f t="shared" si="23"/>
        <v>Post-COVID</v>
      </c>
    </row>
    <row r="339" spans="1:10" x14ac:dyDescent="0.35">
      <c r="A339" t="str">
        <f>'Row Data'!A339</f>
        <v>Urban</v>
      </c>
      <c r="B339">
        <f>'Row Data'!B339</f>
        <v>2022</v>
      </c>
      <c r="C339" t="str">
        <f>'Row Data'!C339</f>
        <v>June</v>
      </c>
      <c r="D339" s="2">
        <f>DATE(B339,MATCH(C339,{"January","February","March","April","May","June","July","August","September","October","November","December"},0),1)</f>
        <v>44713</v>
      </c>
      <c r="E339">
        <f>'Row Data'!AD339</f>
        <v>171.4</v>
      </c>
      <c r="F339" s="3">
        <f t="shared" si="20"/>
        <v>6.8578553615959992E-2</v>
      </c>
      <c r="G339" s="3">
        <f t="shared" si="21"/>
        <v>3.5128805620607828E-3</v>
      </c>
      <c r="H339">
        <f>'Row Data'!P339</f>
        <v>179.3</v>
      </c>
      <c r="I339" s="3">
        <f t="shared" si="22"/>
        <v>1.0140845070422566E-2</v>
      </c>
      <c r="J339" t="str">
        <f t="shared" si="23"/>
        <v>Post-COVID</v>
      </c>
    </row>
    <row r="340" spans="1:10" x14ac:dyDescent="0.35">
      <c r="A340" t="str">
        <f>'Row Data'!A340</f>
        <v>Rural+Urban</v>
      </c>
      <c r="B340">
        <f>'Row Data'!B340</f>
        <v>2022</v>
      </c>
      <c r="C340" t="str">
        <f>'Row Data'!C340</f>
        <v>June</v>
      </c>
      <c r="D340" s="2">
        <f>DATE(B340,MATCH(C340,{"January","February","March","April","May","June","July","August","September","October","November","December"},0),1)</f>
        <v>44713</v>
      </c>
      <c r="E340">
        <f>'Row Data'!AD340</f>
        <v>172.6</v>
      </c>
      <c r="F340" s="3">
        <f t="shared" si="20"/>
        <v>7.0055796652200852E-2</v>
      </c>
      <c r="G340" s="3">
        <f t="shared" si="21"/>
        <v>5.2417006406524358E-3</v>
      </c>
      <c r="H340">
        <f>'Row Data'!P340</f>
        <v>174.9</v>
      </c>
      <c r="I340" s="3">
        <f t="shared" si="22"/>
        <v>9.2325447201384581E-3</v>
      </c>
      <c r="J340" t="str">
        <f t="shared" si="23"/>
        <v>Post-COVID</v>
      </c>
    </row>
    <row r="341" spans="1:10" x14ac:dyDescent="0.35">
      <c r="A341" t="str">
        <f>'Row Data'!A341</f>
        <v>Rural</v>
      </c>
      <c r="B341">
        <f>'Row Data'!B341</f>
        <v>2022</v>
      </c>
      <c r="C341" t="str">
        <f>'Row Data'!C341</f>
        <v>July</v>
      </c>
      <c r="D341" s="2">
        <f>DATE(B341,MATCH(C341,{"January","February","March","April","May","June","July","August","September","October","November","December"},0),1)</f>
        <v>44743</v>
      </c>
      <c r="E341">
        <f>'Row Data'!AD341</f>
        <v>174.3</v>
      </c>
      <c r="F341" s="3">
        <f t="shared" si="20"/>
        <v>6.8014705882353033E-2</v>
      </c>
      <c r="G341" s="3">
        <f t="shared" si="21"/>
        <v>4.0322580645162365E-3</v>
      </c>
      <c r="H341">
        <f>'Row Data'!P341</f>
        <v>172.5</v>
      </c>
      <c r="I341" s="3">
        <f t="shared" si="22"/>
        <v>5.8004640371223104E-4</v>
      </c>
      <c r="J341" t="str">
        <f t="shared" si="23"/>
        <v>Post-COVID</v>
      </c>
    </row>
    <row r="342" spans="1:10" x14ac:dyDescent="0.35">
      <c r="A342" t="str">
        <f>'Row Data'!A342</f>
        <v>Urban</v>
      </c>
      <c r="B342">
        <f>'Row Data'!B342</f>
        <v>2022</v>
      </c>
      <c r="C342" t="str">
        <f>'Row Data'!C342</f>
        <v>July</v>
      </c>
      <c r="D342" s="2">
        <f>DATE(B342,MATCH(C342,{"January","February","March","April","May","June","July","August","September","October","November","December"},0),1)</f>
        <v>44743</v>
      </c>
      <c r="E342">
        <f>'Row Data'!AD342</f>
        <v>172.3</v>
      </c>
      <c r="F342" s="3">
        <f t="shared" si="20"/>
        <v>6.4894932014833095E-2</v>
      </c>
      <c r="G342" s="3">
        <f t="shared" si="21"/>
        <v>5.2508751458577585E-3</v>
      </c>
      <c r="H342">
        <f>'Row Data'!P342</f>
        <v>179.4</v>
      </c>
      <c r="I342" s="3">
        <f t="shared" si="22"/>
        <v>5.5772448410484898E-4</v>
      </c>
      <c r="J342" t="str">
        <f t="shared" si="23"/>
        <v>Post-COVID</v>
      </c>
    </row>
    <row r="343" spans="1:10" x14ac:dyDescent="0.35">
      <c r="A343" t="str">
        <f>'Row Data'!A343</f>
        <v>Rural+Urban</v>
      </c>
      <c r="B343">
        <f>'Row Data'!B343</f>
        <v>2022</v>
      </c>
      <c r="C343" t="str">
        <f>'Row Data'!C343</f>
        <v>July</v>
      </c>
      <c r="D343" s="2">
        <f>DATE(B343,MATCH(C343,{"January","February","March","April","May","June","July","August","September","October","November","December"},0),1)</f>
        <v>44743</v>
      </c>
      <c r="E343">
        <f>'Row Data'!AD343</f>
        <v>173.4</v>
      </c>
      <c r="F343" s="3">
        <f t="shared" si="20"/>
        <v>6.7076923076923034E-2</v>
      </c>
      <c r="G343" s="3">
        <f t="shared" si="21"/>
        <v>4.6349942062573479E-3</v>
      </c>
      <c r="H343">
        <f>'Row Data'!P343</f>
        <v>175</v>
      </c>
      <c r="I343" s="3">
        <f t="shared" si="22"/>
        <v>5.7175528873631976E-4</v>
      </c>
      <c r="J343" t="str">
        <f t="shared" si="23"/>
        <v>Post-COVID</v>
      </c>
    </row>
    <row r="344" spans="1:10" x14ac:dyDescent="0.35">
      <c r="A344" t="str">
        <f>'Row Data'!A344</f>
        <v>Rural</v>
      </c>
      <c r="B344">
        <f>'Row Data'!B344</f>
        <v>2022</v>
      </c>
      <c r="C344" t="str">
        <f>'Row Data'!C344</f>
        <v>August</v>
      </c>
      <c r="D344" s="2">
        <f>DATE(B344,MATCH(C344,{"January","February","March","April","May","June","July","August","September","October","November","December"},0),1)</f>
        <v>44774</v>
      </c>
      <c r="E344">
        <f>'Row Data'!AD344</f>
        <v>175.3</v>
      </c>
      <c r="F344" s="3">
        <f t="shared" si="20"/>
        <v>7.1515892420537908E-2</v>
      </c>
      <c r="G344" s="3">
        <f t="shared" si="21"/>
        <v>5.7372346528972162E-3</v>
      </c>
      <c r="H344">
        <f>'Row Data'!P344</f>
        <v>173.9</v>
      </c>
      <c r="I344" s="3">
        <f t="shared" si="22"/>
        <v>8.1159420289855788E-3</v>
      </c>
      <c r="J344" t="str">
        <f t="shared" si="23"/>
        <v>Post-COVID</v>
      </c>
    </row>
    <row r="345" spans="1:10" x14ac:dyDescent="0.35">
      <c r="A345" t="str">
        <f>'Row Data'!A345</f>
        <v>Urban</v>
      </c>
      <c r="B345">
        <f>'Row Data'!B345</f>
        <v>2022</v>
      </c>
      <c r="C345" t="str">
        <f>'Row Data'!C345</f>
        <v>August</v>
      </c>
      <c r="D345" s="2">
        <f>DATE(B345,MATCH(C345,{"January","February","March","April","May","June","July","August","September","October","November","December"},0),1)</f>
        <v>44774</v>
      </c>
      <c r="E345">
        <f>'Row Data'!AD345</f>
        <v>173.1</v>
      </c>
      <c r="F345" s="3">
        <f t="shared" si="20"/>
        <v>6.6543438077633965E-2</v>
      </c>
      <c r="G345" s="3">
        <f t="shared" si="21"/>
        <v>4.6430644225188278E-3</v>
      </c>
      <c r="H345">
        <f>'Row Data'!P345</f>
        <v>180.4</v>
      </c>
      <c r="I345" s="3">
        <f t="shared" si="22"/>
        <v>5.5741360089185399E-3</v>
      </c>
      <c r="J345" t="str">
        <f t="shared" si="23"/>
        <v>Post-COVID</v>
      </c>
    </row>
    <row r="346" spans="1:10" x14ac:dyDescent="0.35">
      <c r="A346" t="str">
        <f>'Row Data'!A346</f>
        <v>Rural+Urban</v>
      </c>
      <c r="B346">
        <f>'Row Data'!B346</f>
        <v>2022</v>
      </c>
      <c r="C346" t="str">
        <f>'Row Data'!C346</f>
        <v>August</v>
      </c>
      <c r="D346" s="2">
        <f>DATE(B346,MATCH(C346,{"January","February","March","April","May","June","July","August","September","October","November","December"},0),1)</f>
        <v>44774</v>
      </c>
      <c r="E346">
        <f>'Row Data'!AD346</f>
        <v>174.3</v>
      </c>
      <c r="F346" s="3">
        <f t="shared" si="20"/>
        <v>6.8014705882353033E-2</v>
      </c>
      <c r="G346" s="3">
        <f t="shared" si="21"/>
        <v>5.1903114186850896E-3</v>
      </c>
      <c r="H346">
        <f>'Row Data'!P346</f>
        <v>176.3</v>
      </c>
      <c r="I346" s="3">
        <f t="shared" si="22"/>
        <v>7.4285714285715621E-3</v>
      </c>
      <c r="J346" t="str">
        <f t="shared" si="23"/>
        <v>Post-COVID</v>
      </c>
    </row>
    <row r="347" spans="1:10" x14ac:dyDescent="0.35">
      <c r="A347" t="str">
        <f>'Row Data'!A347</f>
        <v>Rural</v>
      </c>
      <c r="B347">
        <f>'Row Data'!B347</f>
        <v>2022</v>
      </c>
      <c r="C347" t="str">
        <f>'Row Data'!C347</f>
        <v>September</v>
      </c>
      <c r="D347" s="2">
        <f>DATE(B347,MATCH(C347,{"January","February","March","April","May","June","July","August","September","October","November","December"},0),1)</f>
        <v>44805</v>
      </c>
      <c r="E347">
        <f>'Row Data'!AD347</f>
        <v>176.4</v>
      </c>
      <c r="F347" s="3">
        <f t="shared" si="20"/>
        <v>7.5609756097561043E-2</v>
      </c>
      <c r="G347" s="3">
        <f t="shared" si="21"/>
        <v>6.2749572162008604E-3</v>
      </c>
      <c r="H347">
        <f>'Row Data'!P347</f>
        <v>175.5</v>
      </c>
      <c r="I347" s="3">
        <f t="shared" si="22"/>
        <v>9.2006900517538348E-3</v>
      </c>
      <c r="J347" t="str">
        <f t="shared" si="23"/>
        <v>Post-COVID</v>
      </c>
    </row>
    <row r="348" spans="1:10" x14ac:dyDescent="0.35">
      <c r="A348" t="str">
        <f>'Row Data'!A348</f>
        <v>Urban</v>
      </c>
      <c r="B348">
        <f>'Row Data'!B348</f>
        <v>2022</v>
      </c>
      <c r="C348" t="str">
        <f>'Row Data'!C348</f>
        <v>September</v>
      </c>
      <c r="D348" s="2">
        <f>DATE(B348,MATCH(C348,{"January","February","March","April","May","June","July","August","September","October","November","December"},0),1)</f>
        <v>44805</v>
      </c>
      <c r="E348">
        <f>'Row Data'!AD348</f>
        <v>174.1</v>
      </c>
      <c r="F348" s="3">
        <f t="shared" si="20"/>
        <v>7.2704867529266748E-2</v>
      </c>
      <c r="G348" s="3">
        <f t="shared" si="21"/>
        <v>5.7770075101097884E-3</v>
      </c>
      <c r="H348">
        <f>'Row Data'!P348</f>
        <v>181.8</v>
      </c>
      <c r="I348" s="3">
        <f t="shared" si="22"/>
        <v>7.7605321507761005E-3</v>
      </c>
      <c r="J348" t="str">
        <f t="shared" si="23"/>
        <v>Post-COVID</v>
      </c>
    </row>
    <row r="349" spans="1:10" x14ac:dyDescent="0.35">
      <c r="A349" t="str">
        <f>'Row Data'!A349</f>
        <v>Rural+Urban</v>
      </c>
      <c r="B349">
        <f>'Row Data'!B349</f>
        <v>2022</v>
      </c>
      <c r="C349" t="str">
        <f>'Row Data'!C349</f>
        <v>September</v>
      </c>
      <c r="D349" s="2">
        <f>DATE(B349,MATCH(C349,{"January","February","March","April","May","June","July","August","September","October","November","December"},0),1)</f>
        <v>44805</v>
      </c>
      <c r="E349">
        <f>'Row Data'!AD349</f>
        <v>175.3</v>
      </c>
      <c r="F349" s="3">
        <f t="shared" si="20"/>
        <v>7.4142156862745168E-2</v>
      </c>
      <c r="G349" s="3">
        <f t="shared" si="21"/>
        <v>5.7372346528972162E-3</v>
      </c>
      <c r="H349">
        <f>'Row Data'!P349</f>
        <v>177.8</v>
      </c>
      <c r="I349" s="3">
        <f t="shared" si="22"/>
        <v>8.5082246171299669E-3</v>
      </c>
      <c r="J349" t="str">
        <f t="shared" si="23"/>
        <v>Post-COVID</v>
      </c>
    </row>
    <row r="350" spans="1:10" x14ac:dyDescent="0.35">
      <c r="A350" t="str">
        <f>'Row Data'!A350</f>
        <v>Rural</v>
      </c>
      <c r="B350">
        <f>'Row Data'!B350</f>
        <v>2022</v>
      </c>
      <c r="C350" t="str">
        <f>'Row Data'!C350</f>
        <v>October</v>
      </c>
      <c r="D350" s="2">
        <f>DATE(B350,MATCH(C350,{"January","February","March","April","May","June","July","August","September","October","November","December"},0),1)</f>
        <v>44835</v>
      </c>
      <c r="E350">
        <f>'Row Data'!AD350</f>
        <v>177.9</v>
      </c>
      <c r="F350" s="3">
        <f t="shared" si="20"/>
        <v>6.9753457606734681E-2</v>
      </c>
      <c r="G350" s="3">
        <f t="shared" si="21"/>
        <v>8.5034013605442826E-3</v>
      </c>
      <c r="H350">
        <f>'Row Data'!P350</f>
        <v>177.4</v>
      </c>
      <c r="I350" s="3">
        <f t="shared" si="22"/>
        <v>1.0826210826210936E-2</v>
      </c>
      <c r="J350" t="str">
        <f t="shared" si="23"/>
        <v>Post-COVID</v>
      </c>
    </row>
    <row r="351" spans="1:10" x14ac:dyDescent="0.35">
      <c r="A351" t="str">
        <f>'Row Data'!A351</f>
        <v>Urban</v>
      </c>
      <c r="B351">
        <f>'Row Data'!B351</f>
        <v>2022</v>
      </c>
      <c r="C351" t="str">
        <f>'Row Data'!C351</f>
        <v>October</v>
      </c>
      <c r="D351" s="2">
        <f>DATE(B351,MATCH(C351,{"January","February","March","April","May","June","July","August","September","October","November","December"},0),1)</f>
        <v>44835</v>
      </c>
      <c r="E351">
        <f>'Row Data'!AD351</f>
        <v>175.3</v>
      </c>
      <c r="F351" s="3">
        <f t="shared" si="20"/>
        <v>6.5006075334143487E-2</v>
      </c>
      <c r="G351" s="3">
        <f t="shared" si="21"/>
        <v>6.8925904652499259E-3</v>
      </c>
      <c r="H351">
        <f>'Row Data'!P351</f>
        <v>183.3</v>
      </c>
      <c r="I351" s="3">
        <f t="shared" si="22"/>
        <v>8.2508250825081841E-3</v>
      </c>
      <c r="J351" t="str">
        <f t="shared" si="23"/>
        <v>Post-COVID</v>
      </c>
    </row>
    <row r="352" spans="1:10" x14ac:dyDescent="0.35">
      <c r="A352" t="str">
        <f>'Row Data'!A352</f>
        <v>Rural+Urban</v>
      </c>
      <c r="B352">
        <f>'Row Data'!B352</f>
        <v>2022</v>
      </c>
      <c r="C352" t="str">
        <f>'Row Data'!C352</f>
        <v>October</v>
      </c>
      <c r="D352" s="2">
        <f>DATE(B352,MATCH(C352,{"January","February","March","April","May","June","July","August","September","October","November","December"},0),1)</f>
        <v>44835</v>
      </c>
      <c r="E352">
        <f>'Row Data'!AD352</f>
        <v>176.7</v>
      </c>
      <c r="F352" s="3">
        <f t="shared" si="20"/>
        <v>6.7673716012084606E-2</v>
      </c>
      <c r="G352" s="3">
        <f t="shared" si="21"/>
        <v>7.986309184255358E-3</v>
      </c>
      <c r="H352">
        <f>'Row Data'!P352</f>
        <v>179.6</v>
      </c>
      <c r="I352" s="3">
        <f t="shared" si="22"/>
        <v>1.0123734533183271E-2</v>
      </c>
      <c r="J352" t="str">
        <f t="shared" si="23"/>
        <v>Post-COVID</v>
      </c>
    </row>
    <row r="353" spans="1:10" x14ac:dyDescent="0.35">
      <c r="A353" t="str">
        <f>'Row Data'!A353</f>
        <v>Rural</v>
      </c>
      <c r="B353">
        <f>'Row Data'!B353</f>
        <v>2022</v>
      </c>
      <c r="C353" t="str">
        <f>'Row Data'!C353</f>
        <v>November</v>
      </c>
      <c r="D353" s="2">
        <f>DATE(B353,MATCH(C353,{"January","February","March","April","May","June","July","August","September","October","November","December"},0),1)</f>
        <v>44866</v>
      </c>
      <c r="E353">
        <f>'Row Data'!AD353</f>
        <v>177.8</v>
      </c>
      <c r="F353" s="3">
        <f t="shared" si="20"/>
        <v>6.0859188544152953E-2</v>
      </c>
      <c r="G353" s="3">
        <f t="shared" si="21"/>
        <v>-5.6211354693647131E-4</v>
      </c>
      <c r="H353">
        <f>'Row Data'!P353</f>
        <v>176.6</v>
      </c>
      <c r="I353" s="3">
        <f t="shared" si="22"/>
        <v>-4.5095828635851598E-3</v>
      </c>
      <c r="J353" t="str">
        <f t="shared" si="23"/>
        <v>Post-COVID</v>
      </c>
    </row>
    <row r="354" spans="1:10" x14ac:dyDescent="0.35">
      <c r="A354" t="str">
        <f>'Row Data'!A354</f>
        <v>Urban</v>
      </c>
      <c r="B354">
        <f>'Row Data'!B354</f>
        <v>2022</v>
      </c>
      <c r="C354" t="str">
        <f>'Row Data'!C354</f>
        <v>November</v>
      </c>
      <c r="D354" s="2">
        <f>DATE(B354,MATCH(C354,{"January","February","March","April","May","June","July","August","September","October","November","December"},0),1)</f>
        <v>44866</v>
      </c>
      <c r="E354">
        <f>'Row Data'!AD354</f>
        <v>174.1</v>
      </c>
      <c r="F354" s="3">
        <f t="shared" si="20"/>
        <v>5.1328502415458832E-2</v>
      </c>
      <c r="G354" s="3">
        <f t="shared" si="21"/>
        <v>-6.8454078722191003E-3</v>
      </c>
      <c r="H354">
        <f>'Row Data'!P354</f>
        <v>181.3</v>
      </c>
      <c r="I354" s="3">
        <f t="shared" si="22"/>
        <v>-1.0911074740861948E-2</v>
      </c>
      <c r="J354" t="str">
        <f t="shared" si="23"/>
        <v>Post-COVID</v>
      </c>
    </row>
    <row r="355" spans="1:10" x14ac:dyDescent="0.35">
      <c r="A355" t="str">
        <f>'Row Data'!A355</f>
        <v>Rural+Urban</v>
      </c>
      <c r="B355">
        <f>'Row Data'!B355</f>
        <v>2022</v>
      </c>
      <c r="C355" t="str">
        <f>'Row Data'!C355</f>
        <v>November</v>
      </c>
      <c r="D355" s="2">
        <f>DATE(B355,MATCH(C355,{"January","February","March","April","May","June","July","August","September","October","November","December"},0),1)</f>
        <v>44866</v>
      </c>
      <c r="E355">
        <f>'Row Data'!AD355</f>
        <v>176.5</v>
      </c>
      <c r="F355" s="3">
        <f t="shared" si="20"/>
        <v>5.8788242351529796E-2</v>
      </c>
      <c r="G355" s="3">
        <f t="shared" si="21"/>
        <v>-1.1318619128465324E-3</v>
      </c>
      <c r="H355">
        <f>'Row Data'!P355</f>
        <v>178.3</v>
      </c>
      <c r="I355" s="3">
        <f t="shared" si="22"/>
        <v>-7.2383073496657957E-3</v>
      </c>
      <c r="J355" t="str">
        <f t="shared" si="23"/>
        <v>Post-COVID</v>
      </c>
    </row>
    <row r="356" spans="1:10" x14ac:dyDescent="0.35">
      <c r="A356" t="str">
        <f>'Row Data'!A356</f>
        <v>Rural</v>
      </c>
      <c r="B356">
        <f>'Row Data'!B356</f>
        <v>2022</v>
      </c>
      <c r="C356" t="str">
        <f>'Row Data'!C356</f>
        <v>December</v>
      </c>
      <c r="D356" s="2">
        <f>DATE(B356,MATCH(C356,{"January","February","March","April","May","June","July","August","September","October","November","December"},0),1)</f>
        <v>44896</v>
      </c>
      <c r="E356">
        <f>'Row Data'!AD356</f>
        <v>177.1</v>
      </c>
      <c r="F356" s="3">
        <f t="shared" si="20"/>
        <v>6.0479041916167597E-2</v>
      </c>
      <c r="G356" s="3">
        <f t="shared" si="21"/>
        <v>-3.9370078740158521E-3</v>
      </c>
      <c r="H356">
        <f>'Row Data'!P356</f>
        <v>174.4</v>
      </c>
      <c r="I356" s="3">
        <f t="shared" si="22"/>
        <v>-1.2457531143827749E-2</v>
      </c>
      <c r="J356" t="str">
        <f t="shared" si="23"/>
        <v>Post-COVID</v>
      </c>
    </row>
    <row r="357" spans="1:10" x14ac:dyDescent="0.35">
      <c r="A357" t="str">
        <f>'Row Data'!A357</f>
        <v>Urban</v>
      </c>
      <c r="B357">
        <f>'Row Data'!B357</f>
        <v>2022</v>
      </c>
      <c r="C357" t="str">
        <f>'Row Data'!C357</f>
        <v>December</v>
      </c>
      <c r="D357" s="2">
        <f>DATE(B357,MATCH(C357,{"January","February","March","April","May","June","July","August","September","October","November","December"},0),1)</f>
        <v>44896</v>
      </c>
      <c r="E357">
        <f>'Row Data'!AD357</f>
        <v>174.1</v>
      </c>
      <c r="F357" s="3">
        <f t="shared" si="20"/>
        <v>5.3874092009685182E-2</v>
      </c>
      <c r="G357" s="3">
        <f t="shared" si="21"/>
        <v>0</v>
      </c>
      <c r="H357">
        <f>'Row Data'!P357</f>
        <v>178.6</v>
      </c>
      <c r="I357" s="3">
        <f t="shared" si="22"/>
        <v>-1.4892443463872085E-2</v>
      </c>
      <c r="J357" t="str">
        <f t="shared" si="23"/>
        <v>Post-COVID</v>
      </c>
    </row>
    <row r="358" spans="1:10" x14ac:dyDescent="0.35">
      <c r="A358" t="str">
        <f>'Row Data'!A358</f>
        <v>Rural+Urban</v>
      </c>
      <c r="B358">
        <f>'Row Data'!B358</f>
        <v>2022</v>
      </c>
      <c r="C358" t="str">
        <f>'Row Data'!C358</f>
        <v>December</v>
      </c>
      <c r="D358" s="2">
        <f>DATE(B358,MATCH(C358,{"January","February","March","April","May","June","July","August","September","October","November","December"},0),1)</f>
        <v>44896</v>
      </c>
      <c r="E358">
        <f>'Row Data'!AD358</f>
        <v>175.7</v>
      </c>
      <c r="F358" s="3">
        <f t="shared" si="20"/>
        <v>5.7160048134777375E-2</v>
      </c>
      <c r="G358" s="3">
        <f t="shared" si="21"/>
        <v>-4.5325779036827774E-3</v>
      </c>
      <c r="H358">
        <f>'Row Data'!P358</f>
        <v>175.9</v>
      </c>
      <c r="I358" s="3">
        <f t="shared" si="22"/>
        <v>-1.346045989904654E-2</v>
      </c>
      <c r="J358" t="str">
        <f t="shared" si="23"/>
        <v>Post-COVID</v>
      </c>
    </row>
    <row r="359" spans="1:10" x14ac:dyDescent="0.35">
      <c r="A359" t="str">
        <f>'Row Data'!A359</f>
        <v>Rural</v>
      </c>
      <c r="B359">
        <f>'Row Data'!B359</f>
        <v>2023</v>
      </c>
      <c r="C359" t="str">
        <f>'Row Data'!C359</f>
        <v>January</v>
      </c>
      <c r="D359" s="2">
        <f>DATE(B359,MATCH(C359,{"January","February","March","April","May","June","July","August","September","October","November","December"},0),1)</f>
        <v>44927</v>
      </c>
      <c r="E359">
        <f>'Row Data'!AD359</f>
        <v>177.8</v>
      </c>
      <c r="F359" s="3">
        <f t="shared" si="20"/>
        <v>6.8509615384615419E-2</v>
      </c>
      <c r="G359" s="3">
        <f t="shared" si="21"/>
        <v>3.9525691699606735E-3</v>
      </c>
      <c r="H359">
        <f>'Row Data'!P359</f>
        <v>175</v>
      </c>
      <c r="I359" s="3">
        <f t="shared" si="22"/>
        <v>3.4403669724769603E-3</v>
      </c>
      <c r="J359" t="str">
        <f t="shared" si="23"/>
        <v>Post-COVID</v>
      </c>
    </row>
    <row r="360" spans="1:10" x14ac:dyDescent="0.35">
      <c r="A360" t="str">
        <f>'Row Data'!A360</f>
        <v>Urban</v>
      </c>
      <c r="B360">
        <f>'Row Data'!B360</f>
        <v>2023</v>
      </c>
      <c r="C360" t="str">
        <f>'Row Data'!C360</f>
        <v>January</v>
      </c>
      <c r="D360" s="2">
        <f>DATE(B360,MATCH(C360,{"January","February","March","April","May","June","July","August","September","October","November","December"},0),1)</f>
        <v>44927</v>
      </c>
      <c r="E360">
        <f>'Row Data'!AD360</f>
        <v>174.9</v>
      </c>
      <c r="F360" s="3">
        <f t="shared" si="20"/>
        <v>6.0000000000000053E-2</v>
      </c>
      <c r="G360" s="3">
        <f t="shared" si="21"/>
        <v>4.5950603101665433E-3</v>
      </c>
      <c r="H360">
        <f>'Row Data'!P360</f>
        <v>179.5</v>
      </c>
      <c r="I360" s="3">
        <f t="shared" si="22"/>
        <v>5.0391937290032995E-3</v>
      </c>
      <c r="J360" t="str">
        <f t="shared" si="23"/>
        <v>Post-COVID</v>
      </c>
    </row>
    <row r="361" spans="1:10" x14ac:dyDescent="0.35">
      <c r="A361" t="str">
        <f>'Row Data'!A361</f>
        <v>Rural+Urban</v>
      </c>
      <c r="B361">
        <f>'Row Data'!B361</f>
        <v>2023</v>
      </c>
      <c r="C361" t="str">
        <f>'Row Data'!C361</f>
        <v>January</v>
      </c>
      <c r="D361" s="2">
        <f>DATE(B361,MATCH(C361,{"January","February","March","April","May","June","July","August","September","October","November","December"},0),1)</f>
        <v>44927</v>
      </c>
      <c r="E361">
        <f>'Row Data'!AD361</f>
        <v>176.5</v>
      </c>
      <c r="F361" s="3">
        <f t="shared" si="20"/>
        <v>6.5178032589016333E-2</v>
      </c>
      <c r="G361" s="3">
        <f t="shared" si="21"/>
        <v>4.5532157085943492E-3</v>
      </c>
      <c r="H361">
        <f>'Row Data'!P361</f>
        <v>176.7</v>
      </c>
      <c r="I361" s="3">
        <f t="shared" si="22"/>
        <v>4.5480386583285348E-3</v>
      </c>
      <c r="J361" t="str">
        <f t="shared" si="23"/>
        <v>Post-COVID</v>
      </c>
    </row>
    <row r="362" spans="1:10" x14ac:dyDescent="0.35">
      <c r="A362" t="str">
        <f>'Row Data'!A362</f>
        <v>Rural</v>
      </c>
      <c r="B362">
        <f>'Row Data'!B362</f>
        <v>2023</v>
      </c>
      <c r="C362" t="str">
        <f>'Row Data'!C362</f>
        <v>February</v>
      </c>
      <c r="D362" s="2">
        <f>DATE(B362,MATCH(C362,{"January","February","March","April","May","June","July","August","September","October","November","December"},0),1)</f>
        <v>44958</v>
      </c>
      <c r="E362">
        <f>'Row Data'!AD362</f>
        <v>178</v>
      </c>
      <c r="F362" s="3">
        <f t="shared" si="20"/>
        <v>6.7786442711457839E-2</v>
      </c>
      <c r="G362" s="3">
        <f t="shared" si="21"/>
        <v>1.1248593925758943E-3</v>
      </c>
      <c r="H362">
        <f>'Row Data'!P362</f>
        <v>174.8</v>
      </c>
      <c r="I362" s="3">
        <f t="shared" si="22"/>
        <v>-1.1428571428571122E-3</v>
      </c>
      <c r="J362" t="str">
        <f t="shared" si="23"/>
        <v>Post-COVID</v>
      </c>
    </row>
    <row r="363" spans="1:10" x14ac:dyDescent="0.35">
      <c r="A363" t="str">
        <f>'Row Data'!A363</f>
        <v>Urban</v>
      </c>
      <c r="B363">
        <f>'Row Data'!B363</f>
        <v>2023</v>
      </c>
      <c r="C363" t="str">
        <f>'Row Data'!C363</f>
        <v>February</v>
      </c>
      <c r="D363" s="2">
        <f>DATE(B363,MATCH(C363,{"January","February","March","April","May","June","July","August","September","October","November","December"},0),1)</f>
        <v>44958</v>
      </c>
      <c r="E363">
        <f>'Row Data'!AD363</f>
        <v>176.3</v>
      </c>
      <c r="F363" s="3">
        <f t="shared" si="20"/>
        <v>6.5256797583081561E-2</v>
      </c>
      <c r="G363" s="3">
        <f t="shared" si="21"/>
        <v>8.0045740423100309E-3</v>
      </c>
      <c r="H363">
        <f>'Row Data'!P363</f>
        <v>180.7</v>
      </c>
      <c r="I363" s="3">
        <f t="shared" si="22"/>
        <v>6.6852367688021719E-3</v>
      </c>
      <c r="J363" t="str">
        <f t="shared" si="23"/>
        <v>Post-COVID</v>
      </c>
    </row>
    <row r="364" spans="1:10" x14ac:dyDescent="0.35">
      <c r="A364" t="str">
        <f>'Row Data'!A364</f>
        <v>Rural+Urban</v>
      </c>
      <c r="B364">
        <f>'Row Data'!B364</f>
        <v>2023</v>
      </c>
      <c r="C364" t="str">
        <f>'Row Data'!C364</f>
        <v>February</v>
      </c>
      <c r="D364" s="2">
        <f>DATE(B364,MATCH(C364,{"January","February","March","April","May","June","July","August","September","October","November","December"},0),1)</f>
        <v>44958</v>
      </c>
      <c r="E364">
        <f>'Row Data'!AD364</f>
        <v>177.2</v>
      </c>
      <c r="F364" s="3">
        <f t="shared" si="20"/>
        <v>6.682721252257684E-2</v>
      </c>
      <c r="G364" s="3">
        <f t="shared" si="21"/>
        <v>3.9660056657222498E-3</v>
      </c>
      <c r="H364">
        <f>'Row Data'!P364</f>
        <v>177</v>
      </c>
      <c r="I364" s="3">
        <f t="shared" si="22"/>
        <v>1.6977928692700761E-3</v>
      </c>
      <c r="J364" t="str">
        <f t="shared" si="23"/>
        <v>Post-COVID</v>
      </c>
    </row>
    <row r="365" spans="1:10" x14ac:dyDescent="0.35">
      <c r="A365" t="str">
        <f>'Row Data'!A365</f>
        <v>Rural</v>
      </c>
      <c r="B365">
        <f>'Row Data'!B365</f>
        <v>2023</v>
      </c>
      <c r="C365" t="str">
        <f>'Row Data'!C365</f>
        <v>March</v>
      </c>
      <c r="D365" s="2">
        <f>DATE(B365,MATCH(C365,{"January","February","March","April","May","June","July","August","September","October","November","December"},0),1)</f>
        <v>44986</v>
      </c>
      <c r="E365">
        <f>'Row Data'!AD365</f>
        <v>178</v>
      </c>
      <c r="F365" s="3">
        <f t="shared" si="20"/>
        <v>5.5127445168938971E-2</v>
      </c>
      <c r="G365" s="3">
        <f t="shared" si="21"/>
        <v>0</v>
      </c>
      <c r="H365">
        <f>'Row Data'!P365</f>
        <v>174.8</v>
      </c>
      <c r="I365" s="3">
        <f t="shared" si="22"/>
        <v>0</v>
      </c>
      <c r="J365" t="str">
        <f t="shared" si="23"/>
        <v>Post-COVID</v>
      </c>
    </row>
    <row r="366" spans="1:10" x14ac:dyDescent="0.35">
      <c r="A366" t="str">
        <f>'Row Data'!A366</f>
        <v>Urban</v>
      </c>
      <c r="B366">
        <f>'Row Data'!B366</f>
        <v>2023</v>
      </c>
      <c r="C366" t="str">
        <f>'Row Data'!C366</f>
        <v>March</v>
      </c>
      <c r="D366" s="2">
        <f>DATE(B366,MATCH(C366,{"January","February","March","April","May","June","July","August","September","October","November","December"},0),1)</f>
        <v>44986</v>
      </c>
      <c r="E366">
        <f>'Row Data'!AD366</f>
        <v>176.3</v>
      </c>
      <c r="F366" s="3">
        <f t="shared" si="20"/>
        <v>5.8858858858858998E-2</v>
      </c>
      <c r="G366" s="3">
        <f t="shared" si="21"/>
        <v>0</v>
      </c>
      <c r="H366">
        <f>'Row Data'!P366</f>
        <v>180.8</v>
      </c>
      <c r="I366" s="3">
        <f t="shared" si="22"/>
        <v>5.5340343110144019E-4</v>
      </c>
      <c r="J366" t="str">
        <f t="shared" si="23"/>
        <v>Post-COVID</v>
      </c>
    </row>
    <row r="367" spans="1:10" x14ac:dyDescent="0.35">
      <c r="A367" t="str">
        <f>'Row Data'!A367</f>
        <v>Rural+Urban</v>
      </c>
      <c r="B367">
        <f>'Row Data'!B367</f>
        <v>2023</v>
      </c>
      <c r="C367" t="str">
        <f>'Row Data'!C367</f>
        <v>March</v>
      </c>
      <c r="D367" s="2">
        <f>DATE(B367,MATCH(C367,{"January","February","March","April","May","June","July","August","September","October","November","December"},0),1)</f>
        <v>44986</v>
      </c>
      <c r="E367">
        <f>'Row Data'!AD367</f>
        <v>177.2</v>
      </c>
      <c r="F367" s="3">
        <f t="shared" si="20"/>
        <v>5.6648777579010101E-2</v>
      </c>
      <c r="G367" s="3">
        <f t="shared" si="21"/>
        <v>0</v>
      </c>
      <c r="H367">
        <f>'Row Data'!P367</f>
        <v>177</v>
      </c>
      <c r="I367" s="3">
        <f t="shared" si="22"/>
        <v>0</v>
      </c>
      <c r="J367" t="str">
        <f t="shared" si="23"/>
        <v>Post-COVID</v>
      </c>
    </row>
    <row r="368" spans="1:10" x14ac:dyDescent="0.35">
      <c r="A368" t="str">
        <f>'Row Data'!A368</f>
        <v>Rural</v>
      </c>
      <c r="B368">
        <f>'Row Data'!B368</f>
        <v>2023</v>
      </c>
      <c r="C368" t="str">
        <f>'Row Data'!C368</f>
        <v>April</v>
      </c>
      <c r="D368" s="2">
        <f>DATE(B368,MATCH(C368,{"January","February","March","April","May","June","July","August","September","October","November","December"},0),1)</f>
        <v>45017</v>
      </c>
      <c r="E368">
        <f>'Row Data'!AD368</f>
        <v>178.8</v>
      </c>
      <c r="F368" s="3">
        <f t="shared" si="20"/>
        <v>4.6838407494145251E-2</v>
      </c>
      <c r="G368" s="3">
        <f t="shared" si="21"/>
        <v>4.4943820224718767E-3</v>
      </c>
      <c r="H368">
        <f>'Row Data'!P368</f>
        <v>175.5</v>
      </c>
      <c r="I368" s="3">
        <f t="shared" si="22"/>
        <v>4.004576659038861E-3</v>
      </c>
      <c r="J368" t="str">
        <f t="shared" si="23"/>
        <v>Post-COVID</v>
      </c>
    </row>
    <row r="369" spans="1:10" x14ac:dyDescent="0.35">
      <c r="A369" t="str">
        <f>'Row Data'!A369</f>
        <v>Urban</v>
      </c>
      <c r="B369">
        <f>'Row Data'!B369</f>
        <v>2023</v>
      </c>
      <c r="C369" t="str">
        <f>'Row Data'!C369</f>
        <v>April</v>
      </c>
      <c r="D369" s="2">
        <f>DATE(B369,MATCH(C369,{"January","February","March","April","May","June","July","August","September","October","November","December"},0),1)</f>
        <v>45017</v>
      </c>
      <c r="E369">
        <f>'Row Data'!AD369</f>
        <v>177.4</v>
      </c>
      <c r="F369" s="3">
        <f t="shared" si="20"/>
        <v>4.8463356973995397E-2</v>
      </c>
      <c r="G369" s="3">
        <f t="shared" si="21"/>
        <v>6.2393647192284796E-3</v>
      </c>
      <c r="H369">
        <f>'Row Data'!P369</f>
        <v>182.1</v>
      </c>
      <c r="I369" s="3">
        <f t="shared" si="22"/>
        <v>7.1902654867255222E-3</v>
      </c>
      <c r="J369" t="str">
        <f t="shared" si="23"/>
        <v>Post-COVID</v>
      </c>
    </row>
    <row r="370" spans="1:10" x14ac:dyDescent="0.35">
      <c r="A370" t="str">
        <f>'Row Data'!A370</f>
        <v>Rural+Urban</v>
      </c>
      <c r="B370">
        <f>'Row Data'!B370</f>
        <v>2023</v>
      </c>
      <c r="C370" t="str">
        <f>'Row Data'!C370</f>
        <v>April</v>
      </c>
      <c r="D370" s="2">
        <f>DATE(B370,MATCH(C370,{"January","February","March","April","May","June","July","August","September","October","November","December"},0),1)</f>
        <v>45017</v>
      </c>
      <c r="E370">
        <f>'Row Data'!AD370</f>
        <v>178.1</v>
      </c>
      <c r="F370" s="3">
        <f t="shared" si="20"/>
        <v>4.7031158142269325E-2</v>
      </c>
      <c r="G370" s="3">
        <f t="shared" si="21"/>
        <v>5.0790067720090093E-3</v>
      </c>
      <c r="H370">
        <f>'Row Data'!P370</f>
        <v>177.9</v>
      </c>
      <c r="I370" s="3">
        <f t="shared" si="22"/>
        <v>5.0847457627118953E-3</v>
      </c>
      <c r="J370" t="str">
        <f t="shared" si="23"/>
        <v>Post-COVID</v>
      </c>
    </row>
    <row r="371" spans="1:10" x14ac:dyDescent="0.35">
      <c r="A371" t="str">
        <f>'Row Data'!A371</f>
        <v>Rural</v>
      </c>
      <c r="B371">
        <f>'Row Data'!B371</f>
        <v>2023</v>
      </c>
      <c r="C371" t="str">
        <f>'Row Data'!C371</f>
        <v>May</v>
      </c>
      <c r="D371" s="2">
        <f>DATE(B371,MATCH(C371,{"January","February","March","April","May","June","July","August","September","October","November","December"},0),1)</f>
        <v>45047</v>
      </c>
      <c r="E371">
        <f>'Row Data'!AD371</f>
        <v>179.8</v>
      </c>
      <c r="F371" s="3">
        <f t="shared" si="20"/>
        <v>4.2318840579710137E-2</v>
      </c>
      <c r="G371" s="3">
        <f t="shared" si="21"/>
        <v>5.5928411633110464E-3</v>
      </c>
      <c r="H371">
        <f>'Row Data'!P371</f>
        <v>176.8</v>
      </c>
      <c r="I371" s="3">
        <f t="shared" si="22"/>
        <v>7.4074074074075291E-3</v>
      </c>
      <c r="J371" t="str">
        <f t="shared" si="23"/>
        <v>Post-COVID</v>
      </c>
    </row>
    <row r="372" spans="1:10" x14ac:dyDescent="0.35">
      <c r="A372" t="str">
        <f>'Row Data'!A372</f>
        <v>Urban</v>
      </c>
      <c r="B372">
        <f>'Row Data'!B372</f>
        <v>2023</v>
      </c>
      <c r="C372" t="str">
        <f>'Row Data'!C372</f>
        <v>May</v>
      </c>
      <c r="D372" s="2">
        <f>DATE(B372,MATCH(C372,{"January","February","March","April","May","June","July","August","September","October","November","December"},0),1)</f>
        <v>45047</v>
      </c>
      <c r="E372">
        <f>'Row Data'!AD372</f>
        <v>178.2</v>
      </c>
      <c r="F372" s="3">
        <f t="shared" si="20"/>
        <v>4.3325526932084246E-2</v>
      </c>
      <c r="G372" s="3">
        <f t="shared" si="21"/>
        <v>4.5095828635850488E-3</v>
      </c>
      <c r="H372">
        <f>'Row Data'!P372</f>
        <v>183.1</v>
      </c>
      <c r="I372" s="3">
        <f t="shared" si="22"/>
        <v>5.4914881933003645E-3</v>
      </c>
      <c r="J372" t="str">
        <f t="shared" si="23"/>
        <v>Post-COVID</v>
      </c>
    </row>
    <row r="373" spans="1:10" x14ac:dyDescent="0.35">
      <c r="A373" t="str">
        <f>'Row Data'!A373</f>
        <v>Rural+Urban</v>
      </c>
      <c r="B373">
        <f>'Row Data'!B373</f>
        <v>2023</v>
      </c>
      <c r="C373" t="str">
        <f>'Row Data'!C373</f>
        <v>May</v>
      </c>
      <c r="D373" s="2">
        <f>DATE(B373,MATCH(C373,{"January","February","March","April","May","June","July","August","September","October","November","December"},0),1)</f>
        <v>45047</v>
      </c>
      <c r="E373">
        <f>'Row Data'!AD373</f>
        <v>179.1</v>
      </c>
      <c r="F373" s="3">
        <f t="shared" si="20"/>
        <v>4.3098427489807856E-2</v>
      </c>
      <c r="G373" s="3">
        <f t="shared" si="21"/>
        <v>5.6148231330712672E-3</v>
      </c>
      <c r="H373">
        <f>'Row Data'!P373</f>
        <v>179.1</v>
      </c>
      <c r="I373" s="3">
        <f t="shared" si="22"/>
        <v>6.7453625632376557E-3</v>
      </c>
      <c r="J373" t="str">
        <f t="shared" si="23"/>
        <v>Post-COVID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D15"/>
  <sheetViews>
    <sheetView workbookViewId="0">
      <selection activeCell="C14" sqref="C14"/>
    </sheetView>
  </sheetViews>
  <sheetFormatPr defaultRowHeight="14.5" x14ac:dyDescent="0.35"/>
  <cols>
    <col min="1" max="1" width="34" customWidth="1"/>
    <col min="2" max="2" width="23.36328125" bestFit="1" customWidth="1"/>
    <col min="3" max="3" width="18" customWidth="1"/>
    <col min="4" max="4" width="38" customWidth="1"/>
  </cols>
  <sheetData>
    <row r="1" spans="1:4" x14ac:dyDescent="0.35">
      <c r="A1" s="5" t="s">
        <v>187</v>
      </c>
      <c r="B1" s="5" t="s">
        <v>188</v>
      </c>
      <c r="C1" s="5" t="s">
        <v>189</v>
      </c>
      <c r="D1" s="5" t="s">
        <v>190</v>
      </c>
    </row>
    <row r="2" spans="1:4" x14ac:dyDescent="0.35">
      <c r="A2" s="6" t="s">
        <v>191</v>
      </c>
      <c r="B2" s="6">
        <f>SUMIFS(INDEX('Row Data'!$A:$AD,0,MATCH(D2,'Row Data'!$1:$1,0)),'Row Data'!$A:$A,"Rural+Urban",'Row Data'!$B:$B,2023,'Row Data'!$C:$C,"April")</f>
        <v>177.9</v>
      </c>
      <c r="C2" s="7">
        <f t="shared" ref="C2:C12" si="0">IFERROR(B2/SUM($B$2:$B$12),0)</f>
        <v>9.8772972072622284E-2</v>
      </c>
      <c r="D2" s="6" t="s">
        <v>15</v>
      </c>
    </row>
    <row r="3" spans="1:4" x14ac:dyDescent="0.35">
      <c r="A3" s="6" t="s">
        <v>192</v>
      </c>
      <c r="B3" s="6">
        <f>SUMIFS(INDEX('Row Data'!$A:$AD,0,MATCH(D3,'Row Data'!$1:$1,0)),'Row Data'!$A:$A,"Rural+Urban",'Row Data'!$B:$B,2023,'Row Data'!$C:$C,"April")</f>
        <v>200.6</v>
      </c>
      <c r="C3" s="7">
        <f t="shared" si="0"/>
        <v>0.11137638110043861</v>
      </c>
      <c r="D3" s="6" t="s">
        <v>16</v>
      </c>
    </row>
    <row r="4" spans="1:4" x14ac:dyDescent="0.35">
      <c r="A4" s="6" t="s">
        <v>193</v>
      </c>
      <c r="B4" s="6">
        <f>SUMIFS(INDEX('Row Data'!$A:$AD,0,MATCH(D4,'Row Data'!$1:$1,0)),'Row Data'!$A:$A,"Rural+Urban",'Row Data'!$B:$B,2023,'Row Data'!$C:$C,"April")</f>
        <v>185.7</v>
      </c>
      <c r="C4" s="7">
        <f t="shared" si="0"/>
        <v>0.10310365887513184</v>
      </c>
      <c r="D4" s="6" t="s">
        <v>19</v>
      </c>
    </row>
    <row r="5" spans="1:4" x14ac:dyDescent="0.35">
      <c r="A5" s="6" t="s">
        <v>20</v>
      </c>
      <c r="B5" s="6">
        <f>SUMIFS(INDEX('Row Data'!$A:$AD,0,MATCH(D5,'Row Data'!$1:$1,0)),'Row Data'!$A:$A,"Rural+Urban",'Row Data'!$B:$B,2023,'Row Data'!$C:$C,"April")</f>
        <v>0</v>
      </c>
      <c r="C5" s="7">
        <f t="shared" si="0"/>
        <v>0</v>
      </c>
      <c r="D5" s="6" t="s">
        <v>20</v>
      </c>
    </row>
    <row r="6" spans="1:4" x14ac:dyDescent="0.35">
      <c r="A6" s="6" t="s">
        <v>194</v>
      </c>
      <c r="B6" s="6">
        <f>SUMIFS(INDEX('Row Data'!$A:$AD,0,MATCH(D6,'Row Data'!$1:$1,0)),'Row Data'!$A:$A,"Rural+Urban",'Row Data'!$B:$B,2023,'Row Data'!$C:$C,"April")</f>
        <v>181.7</v>
      </c>
      <c r="C6" s="7">
        <f t="shared" si="0"/>
        <v>0.10088279384820387</v>
      </c>
      <c r="D6" s="6" t="s">
        <v>21</v>
      </c>
    </row>
    <row r="7" spans="1:4" x14ac:dyDescent="0.35">
      <c r="A7" s="6" t="s">
        <v>195</v>
      </c>
      <c r="B7" s="6">
        <f>SUMIFS(INDEX('Row Data'!$A:$AD,0,MATCH(D7,'Row Data'!$1:$1,0)),'Row Data'!$A:$A,"Rural+Urban",'Row Data'!$B:$B,2023,'Row Data'!$C:$C,"April")</f>
        <v>174.6</v>
      </c>
      <c r="C7" s="7">
        <f t="shared" si="0"/>
        <v>9.6940758425406684E-2</v>
      </c>
      <c r="D7" s="6" t="s">
        <v>22</v>
      </c>
    </row>
    <row r="8" spans="1:4" x14ac:dyDescent="0.35">
      <c r="A8" s="6" t="s">
        <v>23</v>
      </c>
      <c r="B8" s="6">
        <f>SUMIFS(INDEX('Row Data'!$A:$AD,0,MATCH(D8,'Row Data'!$1:$1,0)),'Row Data'!$A:$A,"Rural+Urban",'Row Data'!$B:$B,2023,'Row Data'!$C:$C,"April")</f>
        <v>185</v>
      </c>
      <c r="C8" s="7">
        <f t="shared" si="0"/>
        <v>0.10271500749541945</v>
      </c>
      <c r="D8" s="6" t="s">
        <v>23</v>
      </c>
    </row>
    <row r="9" spans="1:4" x14ac:dyDescent="0.35">
      <c r="A9" s="6" t="s">
        <v>196</v>
      </c>
      <c r="B9" s="6">
        <f>SUMIFS(INDEX('Row Data'!$A:$AD,0,MATCH(D9,'Row Data'!$1:$1,0)),'Row Data'!$A:$A,"Rural+Urban",'Row Data'!$B:$B,2023,'Row Data'!$C:$C,"April")</f>
        <v>164.5</v>
      </c>
      <c r="C9" s="7">
        <f t="shared" si="0"/>
        <v>9.1333074232413519E-2</v>
      </c>
      <c r="D9" s="6" t="s">
        <v>24</v>
      </c>
    </row>
    <row r="10" spans="1:4" x14ac:dyDescent="0.35">
      <c r="A10" s="6" t="s">
        <v>197</v>
      </c>
      <c r="B10" s="6">
        <f>SUMIFS(INDEX('Row Data'!$A:$AD,0,MATCH(D10,'Row Data'!$1:$1,0)),'Row Data'!$A:$A,"Rural+Urban",'Row Data'!$B:$B,2023,'Row Data'!$C:$C,"April")</f>
        <v>170.7</v>
      </c>
      <c r="C10" s="7">
        <f t="shared" si="0"/>
        <v>9.4775415024151891E-2</v>
      </c>
      <c r="D10" s="6" t="s">
        <v>25</v>
      </c>
    </row>
    <row r="11" spans="1:4" x14ac:dyDescent="0.35">
      <c r="A11" s="6" t="s">
        <v>26</v>
      </c>
      <c r="B11" s="6">
        <f>SUMIFS(INDEX('Row Data'!$A:$AD,0,MATCH(D11,'Row Data'!$1:$1,0)),'Row Data'!$A:$A,"Rural+Urban",'Row Data'!$B:$B,2023,'Row Data'!$C:$C,"April")</f>
        <v>176.4</v>
      </c>
      <c r="C11" s="7">
        <f t="shared" si="0"/>
        <v>9.7940147687524293E-2</v>
      </c>
      <c r="D11" s="6" t="s">
        <v>26</v>
      </c>
    </row>
    <row r="12" spans="1:4" x14ac:dyDescent="0.35">
      <c r="A12" s="6" t="s">
        <v>198</v>
      </c>
      <c r="B12" s="6">
        <f>SUMIFS(INDEX('Row Data'!$A:$AD,0,MATCH(D12,'Row Data'!$1:$1,0)),'Row Data'!$A:$A,"Rural+Urban",'Row Data'!$B:$B,2023,'Row Data'!$C:$C,"April")</f>
        <v>184</v>
      </c>
      <c r="C12" s="7">
        <f t="shared" si="0"/>
        <v>0.10215979123868746</v>
      </c>
      <c r="D12" s="6" t="s">
        <v>27</v>
      </c>
    </row>
    <row r="14" spans="1:4" x14ac:dyDescent="0.35">
      <c r="A14" s="8" t="s">
        <v>199</v>
      </c>
      <c r="B14" s="8"/>
      <c r="C14" s="3">
        <f>SUM(C2:C12)</f>
        <v>0.99999999999999989</v>
      </c>
    </row>
    <row r="15" spans="1:4" x14ac:dyDescent="0.35">
      <c r="A15" s="8" t="s">
        <v>200</v>
      </c>
      <c r="B15" s="8" t="str">
        <f>INDEX(A2:A12,MATCH(MAX(C2:C12),C2:C12,0))</f>
        <v>Pan, Tobacco &amp; Intoxicants</v>
      </c>
      <c r="C15" s="3">
        <f>MAX(C2:C12)</f>
        <v>0.11137638110043861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1:C11"/>
  <sheetViews>
    <sheetView workbookViewId="0">
      <selection activeCell="A8" sqref="A8"/>
    </sheetView>
  </sheetViews>
  <sheetFormatPr defaultRowHeight="14.5" x14ac:dyDescent="0.35"/>
  <cols>
    <col min="1" max="1" width="18.81640625" bestFit="1" customWidth="1"/>
    <col min="2" max="2" width="54.1796875" bestFit="1" customWidth="1"/>
    <col min="3" max="3" width="13.453125" bestFit="1" customWidth="1"/>
  </cols>
  <sheetData>
    <row r="1" spans="1:3" x14ac:dyDescent="0.35">
      <c r="A1" s="4" t="s">
        <v>1</v>
      </c>
      <c r="B1" s="4" t="s">
        <v>181</v>
      </c>
      <c r="C1" s="4" t="s">
        <v>182</v>
      </c>
    </row>
    <row r="2" spans="1:3" x14ac:dyDescent="0.35">
      <c r="A2">
        <v>2017</v>
      </c>
      <c r="B2">
        <f>AVERAGEIFS('Data Preparation'!$E:$E,'Data Preparation'!$A:$A,"Rural+Urban",'Data Preparation'!$B:$B,A2)</f>
        <v>133.5</v>
      </c>
      <c r="C2" s="3">
        <f>IFERROR(B2/AVERAGEIFS('Data Preparation'!$E:$E,'Data Preparation'!$A:$A,"Rural+Urban",'Data Preparation'!$B:$B,A2-1)-1,"")</f>
        <v>3.3281733746129971E-2</v>
      </c>
    </row>
    <row r="3" spans="1:3" x14ac:dyDescent="0.35">
      <c r="A3">
        <v>2018</v>
      </c>
      <c r="B3">
        <f>AVERAGEIFS('Data Preparation'!$E:$E,'Data Preparation'!$A:$A,"Rural+Urban",'Data Preparation'!$B:$B,A3)</f>
        <v>138.77500000000001</v>
      </c>
      <c r="C3" s="3">
        <f>IFERROR(B3/AVERAGEIFS('Data Preparation'!$E:$E,'Data Preparation'!$A:$A,"Rural+Urban",'Data Preparation'!$B:$B,A3-1)-1,"")</f>
        <v>3.9513108614232184E-2</v>
      </c>
    </row>
    <row r="4" spans="1:3" x14ac:dyDescent="0.35">
      <c r="A4">
        <v>2019</v>
      </c>
      <c r="B4">
        <f>AVERAGEIFS('Data Preparation'!$E:$E,'Data Preparation'!$A:$A,"Rural+Urban",'Data Preparation'!$B:$B,A4)</f>
        <v>144.18181818181819</v>
      </c>
      <c r="C4" s="3">
        <f>IFERROR(B4/AVERAGEIFS('Data Preparation'!$E:$E,'Data Preparation'!$A:$A,"Rural+Urban",'Data Preparation'!$B:$B,A4-1)-1,"")</f>
        <v>3.8961038961038863E-2</v>
      </c>
    </row>
    <row r="5" spans="1:3" x14ac:dyDescent="0.35">
      <c r="A5">
        <v>2020</v>
      </c>
      <c r="B5">
        <f>AVERAGEIFS('Data Preparation'!$E:$E,'Data Preparation'!$A:$A,"Rural+Urban",'Data Preparation'!$B:$B,A5)</f>
        <v>127.81666666666668</v>
      </c>
      <c r="C5" s="3">
        <f>IFERROR(B5/AVERAGEIFS('Data Preparation'!$E:$E,'Data Preparation'!$A:$A,"Rural+Urban",'Data Preparation'!$B:$B,A5-1)-1,"")</f>
        <v>-0.1135035729298024</v>
      </c>
    </row>
    <row r="6" spans="1:3" x14ac:dyDescent="0.35">
      <c r="A6">
        <v>2021</v>
      </c>
      <c r="B6">
        <f>AVERAGEIFS('Data Preparation'!$E:$E,'Data Preparation'!$A:$A,"Rural+Urban",'Data Preparation'!$B:$B,A6)</f>
        <v>161.45833333333334</v>
      </c>
      <c r="C6" s="3">
        <f>IFERROR(B6/AVERAGEIFS('Data Preparation'!$E:$E,'Data Preparation'!$A:$A,"Rural+Urban",'Data Preparation'!$B:$B,A6-1)-1,"")</f>
        <v>0.26320250358586517</v>
      </c>
    </row>
    <row r="7" spans="1:3" x14ac:dyDescent="0.35">
      <c r="A7">
        <v>2022</v>
      </c>
      <c r="B7">
        <f>AVERAGEIFS('Data Preparation'!$E:$E,'Data Preparation'!$A:$A,"Rural+Urban",'Data Preparation'!$B:$B,A7)</f>
        <v>172.14999999999998</v>
      </c>
      <c r="C7" s="3">
        <f>IFERROR(B7/AVERAGEIFS('Data Preparation'!$E:$E,'Data Preparation'!$A:$A,"Rural+Urban",'Data Preparation'!$B:$B,A7-1)-1,"")</f>
        <v>6.6219354838709554E-2</v>
      </c>
    </row>
    <row r="8" spans="1:3" x14ac:dyDescent="0.35">
      <c r="A8">
        <v>2023</v>
      </c>
      <c r="B8">
        <f>AVERAGEIFS('Data Preparation'!$E:$E,'Data Preparation'!$A:$A,"Rural+Urban",'Data Preparation'!$B:$B,A8)</f>
        <v>177.62</v>
      </c>
      <c r="C8" s="3">
        <f>IFERROR(B8/AVERAGEIFS('Data Preparation'!$E:$E,'Data Preparation'!$A:$A,"Rural+Urban",'Data Preparation'!$B:$B,A8-1)-1,"")</f>
        <v>3.177461516119684E-2</v>
      </c>
    </row>
    <row r="10" spans="1:3" x14ac:dyDescent="0.35">
      <c r="A10" t="s">
        <v>201</v>
      </c>
      <c r="B10">
        <f>INDEX(A2:A8,MATCH(MAX(C2:C8),C2:C8,0))</f>
        <v>2021</v>
      </c>
      <c r="C10" s="3">
        <f>MAX(C2:C8)</f>
        <v>0.26320250358586517</v>
      </c>
    </row>
    <row r="11" spans="1:3" x14ac:dyDescent="0.35">
      <c r="A11" t="s">
        <v>202</v>
      </c>
      <c r="B11" t="s">
        <v>203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G13"/>
  <sheetViews>
    <sheetView workbookViewId="0">
      <selection activeCell="F13" sqref="F13"/>
    </sheetView>
  </sheetViews>
  <sheetFormatPr defaultRowHeight="14.5" x14ac:dyDescent="0.35"/>
  <cols>
    <col min="1" max="1" width="7.08984375" bestFit="1" customWidth="1"/>
    <col min="2" max="2" width="10.08984375" bestFit="1" customWidth="1"/>
    <col min="3" max="3" width="11.90625" bestFit="1" customWidth="1"/>
    <col min="4" max="4" width="14.90625" bestFit="1" customWidth="1"/>
    <col min="5" max="5" width="19.26953125" bestFit="1" customWidth="1"/>
    <col min="6" max="6" width="19.453125" bestFit="1" customWidth="1"/>
    <col min="7" max="7" width="13.1796875" bestFit="1" customWidth="1"/>
  </cols>
  <sheetData>
    <row r="1" spans="1:7" x14ac:dyDescent="0.35">
      <c r="A1" s="12" t="s">
        <v>2</v>
      </c>
      <c r="B1" s="12" t="s">
        <v>184</v>
      </c>
      <c r="C1" s="12" t="s">
        <v>185</v>
      </c>
      <c r="D1" s="12" t="s">
        <v>204</v>
      </c>
      <c r="F1" s="13" t="s">
        <v>205</v>
      </c>
      <c r="G1" s="15" t="s">
        <v>206</v>
      </c>
    </row>
    <row r="2" spans="1:7" x14ac:dyDescent="0.35">
      <c r="A2" s="10">
        <v>44682</v>
      </c>
      <c r="B2" s="6">
        <f>AVERAGEIFS('Data Preparation'!$H:$H,'Data Preparation'!$A:$A,"Rural+Urban",'Data Preparation'!$D:$D,A2)</f>
        <v>173.3</v>
      </c>
      <c r="C2" s="11">
        <f>IFERROR(B2/AVERAGEIFS('Data Preparation'!$H:$H,'Data Preparation'!$A:$A,"Rural+Urban",'Data Preparation'!$D:$D,EDATE(A2,-1))-1,"")</f>
        <v>1.4637002341920446E-2</v>
      </c>
      <c r="D2" s="6">
        <f>B2-$B$2</f>
        <v>0</v>
      </c>
      <c r="F2" s="14">
        <f>MAX(C2:C13)</f>
        <v>1.4637002341920446E-2</v>
      </c>
      <c r="G2" s="16">
        <f>INDEX(A2:A13,MATCH(MAX(C2:C13),C2:C13,0))</f>
        <v>44682</v>
      </c>
    </row>
    <row r="3" spans="1:7" x14ac:dyDescent="0.35">
      <c r="A3" s="10">
        <v>44713</v>
      </c>
      <c r="B3" s="6">
        <f>AVERAGEIFS('Data Preparation'!$H:$H,'Data Preparation'!$A:$A,"Rural+Urban",'Data Preparation'!$D:$D,A3)</f>
        <v>174.9</v>
      </c>
      <c r="C3" s="11">
        <f>IFERROR(B3/AVERAGEIFS('Data Preparation'!$H:$H,'Data Preparation'!$A:$A,"Rural+Urban",'Data Preparation'!$D:$D,EDATE(A3,-1))-1,"")</f>
        <v>9.2325447201384581E-3</v>
      </c>
      <c r="D3" s="6">
        <f t="shared" ref="D3:D13" si="0">B3-$B$2</f>
        <v>1.5999999999999943</v>
      </c>
    </row>
    <row r="4" spans="1:7" x14ac:dyDescent="0.35">
      <c r="A4" s="10">
        <v>44743</v>
      </c>
      <c r="B4" s="6">
        <f>AVERAGEIFS('Data Preparation'!$H:$H,'Data Preparation'!$A:$A,"Rural+Urban",'Data Preparation'!$D:$D,A4)</f>
        <v>175</v>
      </c>
      <c r="C4" s="11">
        <f>IFERROR(B4/AVERAGEIFS('Data Preparation'!$H:$H,'Data Preparation'!$A:$A,"Rural+Urban",'Data Preparation'!$D:$D,EDATE(A4,-1))-1,"")</f>
        <v>5.7175528873631976E-4</v>
      </c>
      <c r="D4" s="6">
        <f t="shared" si="0"/>
        <v>1.6999999999999886</v>
      </c>
      <c r="F4" s="15" t="s">
        <v>207</v>
      </c>
      <c r="G4" s="15" t="s">
        <v>208</v>
      </c>
    </row>
    <row r="5" spans="1:7" x14ac:dyDescent="0.35">
      <c r="A5" s="10">
        <v>44774</v>
      </c>
      <c r="B5" s="6">
        <f>AVERAGEIFS('Data Preparation'!$H:$H,'Data Preparation'!$A:$A,"Rural+Urban",'Data Preparation'!$D:$D,A5)</f>
        <v>176.3</v>
      </c>
      <c r="C5" s="11">
        <f>IFERROR(B5/AVERAGEIFS('Data Preparation'!$H:$H,'Data Preparation'!$A:$A,"Rural+Urban",'Data Preparation'!$D:$D,EDATE(A5,-1))-1,"")</f>
        <v>7.4285714285715621E-3</v>
      </c>
      <c r="D5" s="6">
        <f t="shared" si="0"/>
        <v>3</v>
      </c>
      <c r="F5" s="14">
        <f>MIN(C2:C13)</f>
        <v>-1.346045989904654E-2</v>
      </c>
      <c r="G5" s="16">
        <f>INDEX(A2:A13,MATCH(MIN(C2:C13),C2:C13,0))</f>
        <v>44896</v>
      </c>
    </row>
    <row r="6" spans="1:7" x14ac:dyDescent="0.35">
      <c r="A6" s="10">
        <v>44805</v>
      </c>
      <c r="B6" s="6">
        <f>AVERAGEIFS('Data Preparation'!$H:$H,'Data Preparation'!$A:$A,"Rural+Urban",'Data Preparation'!$D:$D,A6)</f>
        <v>177.8</v>
      </c>
      <c r="C6" s="11">
        <f>IFERROR(B6/AVERAGEIFS('Data Preparation'!$H:$H,'Data Preparation'!$A:$A,"Rural+Urban",'Data Preparation'!$D:$D,EDATE(A6,-1))-1,"")</f>
        <v>8.5082246171299669E-3</v>
      </c>
      <c r="D6" s="6">
        <f t="shared" si="0"/>
        <v>4.5</v>
      </c>
    </row>
    <row r="7" spans="1:7" x14ac:dyDescent="0.35">
      <c r="A7" s="10">
        <v>44835</v>
      </c>
      <c r="B7" s="6">
        <f>AVERAGEIFS('Data Preparation'!$H:$H,'Data Preparation'!$A:$A,"Rural+Urban",'Data Preparation'!$D:$D,A7)</f>
        <v>179.6</v>
      </c>
      <c r="C7" s="11">
        <f>IFERROR(B7/AVERAGEIFS('Data Preparation'!$H:$H,'Data Preparation'!$A:$A,"Rural+Urban",'Data Preparation'!$D:$D,EDATE(A7,-1))-1,"")</f>
        <v>1.0123734533183271E-2</v>
      </c>
      <c r="D7" s="6">
        <f t="shared" si="0"/>
        <v>6.2999999999999829</v>
      </c>
    </row>
    <row r="8" spans="1:7" x14ac:dyDescent="0.35">
      <c r="A8" s="10">
        <v>44866</v>
      </c>
      <c r="B8" s="6">
        <f>AVERAGEIFS('Data Preparation'!$H:$H,'Data Preparation'!$A:$A,"Rural+Urban",'Data Preparation'!$D:$D,A8)</f>
        <v>178.3</v>
      </c>
      <c r="C8" s="11">
        <f>IFERROR(B8/AVERAGEIFS('Data Preparation'!$H:$H,'Data Preparation'!$A:$A,"Rural+Urban",'Data Preparation'!$D:$D,EDATE(A8,-1))-1,"")</f>
        <v>-7.2383073496657957E-3</v>
      </c>
      <c r="D8" s="6">
        <f t="shared" si="0"/>
        <v>5</v>
      </c>
    </row>
    <row r="9" spans="1:7" x14ac:dyDescent="0.35">
      <c r="A9" s="10">
        <v>44896</v>
      </c>
      <c r="B9" s="6">
        <f>AVERAGEIFS('Data Preparation'!$H:$H,'Data Preparation'!$A:$A,"Rural+Urban",'Data Preparation'!$D:$D,A9)</f>
        <v>175.9</v>
      </c>
      <c r="C9" s="11">
        <f>IFERROR(B9/AVERAGEIFS('Data Preparation'!$H:$H,'Data Preparation'!$A:$A,"Rural+Urban",'Data Preparation'!$D:$D,EDATE(A9,-1))-1,"")</f>
        <v>-1.346045989904654E-2</v>
      </c>
      <c r="D9" s="6">
        <f t="shared" si="0"/>
        <v>2.5999999999999943</v>
      </c>
    </row>
    <row r="10" spans="1:7" x14ac:dyDescent="0.35">
      <c r="A10" s="10">
        <v>44927</v>
      </c>
      <c r="B10" s="6">
        <f>AVERAGEIFS('Data Preparation'!$H:$H,'Data Preparation'!$A:$A,"Rural+Urban",'Data Preparation'!$D:$D,A10)</f>
        <v>176.7</v>
      </c>
      <c r="C10" s="11">
        <f>IFERROR(B10/AVERAGEIFS('Data Preparation'!$H:$H,'Data Preparation'!$A:$A,"Rural+Urban",'Data Preparation'!$D:$D,EDATE(A10,-1))-1,"")</f>
        <v>4.5480386583285348E-3</v>
      </c>
      <c r="D10" s="6">
        <f t="shared" si="0"/>
        <v>3.3999999999999773</v>
      </c>
    </row>
    <row r="11" spans="1:7" x14ac:dyDescent="0.35">
      <c r="A11" s="10">
        <v>44958</v>
      </c>
      <c r="B11" s="6">
        <f>AVERAGEIFS('Data Preparation'!$H:$H,'Data Preparation'!$A:$A,"Rural+Urban",'Data Preparation'!$D:$D,A11)</f>
        <v>177</v>
      </c>
      <c r="C11" s="11">
        <f>IFERROR(B11/AVERAGEIFS('Data Preparation'!$H:$H,'Data Preparation'!$A:$A,"Rural+Urban",'Data Preparation'!$D:$D,EDATE(A11,-1))-1,"")</f>
        <v>1.6977928692700761E-3</v>
      </c>
      <c r="D11" s="6">
        <f t="shared" si="0"/>
        <v>3.6999999999999886</v>
      </c>
    </row>
    <row r="12" spans="1:7" x14ac:dyDescent="0.35">
      <c r="A12" s="10">
        <v>44986</v>
      </c>
      <c r="B12" s="6">
        <f>AVERAGEIFS('Data Preparation'!$H:$H,'Data Preparation'!$A:$A,"Rural+Urban",'Data Preparation'!$D:$D,A12)</f>
        <v>177</v>
      </c>
      <c r="C12" s="11">
        <f>IFERROR(B12/AVERAGEIFS('Data Preparation'!$H:$H,'Data Preparation'!$A:$A,"Rural+Urban",'Data Preparation'!$D:$D,EDATE(A12,-1))-1,"")</f>
        <v>0</v>
      </c>
      <c r="D12" s="6">
        <f t="shared" si="0"/>
        <v>3.6999999999999886</v>
      </c>
    </row>
    <row r="13" spans="1:7" x14ac:dyDescent="0.35">
      <c r="A13" s="10">
        <v>45017</v>
      </c>
      <c r="B13" s="6">
        <f>AVERAGEIFS('Data Preparation'!$H:$H,'Data Preparation'!$A:$A,"Rural+Urban",'Data Preparation'!$D:$D,A13)</f>
        <v>177.9</v>
      </c>
      <c r="C13" s="11">
        <f>IFERROR(B13/AVERAGEIFS('Data Preparation'!$H:$H,'Data Preparation'!$A:$A,"Rural+Urban",'Data Preparation'!$D:$D,EDATE(A13,-1))-1,"")</f>
        <v>5.0847457627118953E-3</v>
      </c>
      <c r="D13" s="6">
        <f t="shared" si="0"/>
        <v>4.5999999999999943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D13"/>
  <sheetViews>
    <sheetView workbookViewId="0">
      <selection activeCell="B12" sqref="B12"/>
    </sheetView>
  </sheetViews>
  <sheetFormatPr defaultRowHeight="14.5" x14ac:dyDescent="0.35"/>
  <cols>
    <col min="1" max="1" width="7.08984375" bestFit="1" customWidth="1"/>
    <col min="2" max="2" width="20.453125" bestFit="1" customWidth="1"/>
    <col min="3" max="3" width="14.453125" bestFit="1" customWidth="1"/>
    <col min="4" max="4" width="19.54296875" bestFit="1" customWidth="1"/>
  </cols>
  <sheetData>
    <row r="1" spans="1:4" x14ac:dyDescent="0.35">
      <c r="A1" s="18" t="s">
        <v>2</v>
      </c>
      <c r="B1" s="18" t="s">
        <v>209</v>
      </c>
      <c r="C1" s="18" t="s">
        <v>210</v>
      </c>
      <c r="D1" s="18" t="s">
        <v>186</v>
      </c>
    </row>
    <row r="2" spans="1:4" x14ac:dyDescent="0.35">
      <c r="A2" s="10">
        <v>43739</v>
      </c>
      <c r="B2" s="17">
        <f>IFERROR(AVERAGEIFS('Data Preparation'!$F:$F,'Data Preparation'!$A:$A,"Rural+Urban",'Data Preparation'!$D:$D,A2),"")</f>
        <v>4.5454545454545192E-2</v>
      </c>
      <c r="C2" s="17">
        <f>IFERROR(AVERAGEIFS('Data Preparation'!$I:$I,'Data Preparation'!$A:$A,"Rural+Urban",'Data Preparation'!$D:$D,A2),"")</f>
        <v>1.7687074829932037E-2</v>
      </c>
      <c r="D2" s="6" t="str">
        <f>IF(A2&lt;DATE(2020,3,1),"Pre-COVID",IF(A2=DATE(2020,3,1),"COVID Onset / Mar-20","COVID Period"))</f>
        <v>Pre-COVID</v>
      </c>
    </row>
    <row r="3" spans="1:4" x14ac:dyDescent="0.35">
      <c r="A3" s="10">
        <v>43770</v>
      </c>
      <c r="B3" s="17">
        <f>IFERROR(AVERAGEIFS('Data Preparation'!$F:$F,'Data Preparation'!$A:$A,"Rural+Urban",'Data Preparation'!$D:$D,A3),"")</f>
        <v>5.5397727272727071E-2</v>
      </c>
      <c r="C3" s="17">
        <f>IFERROR(AVERAGEIFS('Data Preparation'!$I:$I,'Data Preparation'!$A:$A,"Rural+Urban",'Data Preparation'!$D:$D,A3),"")</f>
        <v>1.5374331550802145E-2</v>
      </c>
      <c r="D3" s="6" t="str">
        <f t="shared" ref="D3:D13" si="0">IF(A3&lt;DATE(2020,3,1),"Pre-COVID",IF(A3=DATE(2020,3,1),"COVID Onset / Mar-20","COVID Period"))</f>
        <v>Pre-COVID</v>
      </c>
    </row>
    <row r="4" spans="1:4" x14ac:dyDescent="0.35">
      <c r="A4" s="10">
        <v>43800</v>
      </c>
      <c r="B4" s="17">
        <f>IFERROR(AVERAGEIFS('Data Preparation'!$F:$F,'Data Preparation'!$A:$A,"Rural+Urban",'Data Preparation'!$D:$D,A4),"")</f>
        <v>7.3518915060670986E-2</v>
      </c>
      <c r="C4" s="17">
        <f>IFERROR(AVERAGEIFS('Data Preparation'!$I:$I,'Data Preparation'!$A:$A,"Rural+Urban",'Data Preparation'!$D:$D,A4),"")</f>
        <v>2.0408163265306145E-2</v>
      </c>
      <c r="D4" s="6" t="str">
        <f t="shared" si="0"/>
        <v>Pre-COVID</v>
      </c>
    </row>
    <row r="5" spans="1:4" x14ac:dyDescent="0.35">
      <c r="A5" s="10">
        <v>43831</v>
      </c>
      <c r="B5" s="17">
        <f>IFERROR(AVERAGEIFS('Data Preparation'!$F:$F,'Data Preparation'!$A:$A,"Rural+Urban",'Data Preparation'!$D:$D,A5),"")</f>
        <v>7.5931232091690504E-2</v>
      </c>
      <c r="C5" s="17">
        <f>IFERROR(AVERAGEIFS('Data Preparation'!$I:$I,'Data Preparation'!$A:$A,"Rural+Urban",'Data Preparation'!$D:$D,A5),"")</f>
        <v>-9.6774193548386789E-3</v>
      </c>
      <c r="D5" s="6" t="str">
        <f t="shared" si="0"/>
        <v>Pre-COVID</v>
      </c>
    </row>
    <row r="6" spans="1:4" x14ac:dyDescent="0.35">
      <c r="A6" s="10">
        <v>43862</v>
      </c>
      <c r="B6" s="17">
        <f>IFERROR(AVERAGEIFS('Data Preparation'!$F:$F,'Data Preparation'!$A:$A,"Rural+Urban",'Data Preparation'!$D:$D,A6),"")</f>
        <v>6.5761258041458159E-2</v>
      </c>
      <c r="C6" s="17">
        <f>IFERROR(AVERAGEIFS('Data Preparation'!$I:$I,'Data Preparation'!$A:$A,"Rural+Urban",'Data Preparation'!$D:$D,A6),"")</f>
        <v>-1.9543973941368087E-2</v>
      </c>
      <c r="D6" s="6" t="str">
        <f t="shared" si="0"/>
        <v>Pre-COVID</v>
      </c>
    </row>
    <row r="7" spans="1:4" x14ac:dyDescent="0.35">
      <c r="A7" s="10">
        <v>43891</v>
      </c>
      <c r="B7" s="17">
        <f>IFERROR(AVERAGEIFS('Data Preparation'!$F:$F,'Data Preparation'!$A:$A,"Rural+Urban",'Data Preparation'!$D:$D,A7),"")</f>
        <v>5.8404558404558271E-2</v>
      </c>
      <c r="C7" s="17">
        <f>IFERROR(AVERAGEIFS('Data Preparation'!$I:$I,'Data Preparation'!$A:$A,"Rural+Urban",'Data Preparation'!$D:$D,A7),"")</f>
        <v>-1.0631229235880335E-2</v>
      </c>
      <c r="D7" s="6" t="str">
        <f t="shared" si="0"/>
        <v>COVID Onset / Mar-20</v>
      </c>
    </row>
    <row r="8" spans="1:4" x14ac:dyDescent="0.35">
      <c r="A8" s="10">
        <v>43922</v>
      </c>
      <c r="B8" s="17" t="str">
        <f>IFERROR(AVERAGEIFS('Data Preparation'!$F:$F,'Data Preparation'!$A:$A,"Rural+Urban",'Data Preparation'!$D:$D,A8),"")</f>
        <v/>
      </c>
      <c r="C8" s="17">
        <f>IFERROR(AVERAGEIFS('Data Preparation'!$I:$I,'Data Preparation'!$A:$A,"Rural+Urban",'Data Preparation'!$D:$D,A8),"")</f>
        <v>1.6789791806581578E-2</v>
      </c>
      <c r="D8" s="6" t="str">
        <f t="shared" si="0"/>
        <v>COVID Period</v>
      </c>
    </row>
    <row r="9" spans="1:4" x14ac:dyDescent="0.35">
      <c r="A9" s="10">
        <v>43952</v>
      </c>
      <c r="B9" s="17"/>
      <c r="C9" s="17"/>
      <c r="D9" s="6" t="str">
        <f t="shared" si="0"/>
        <v>COVID Period</v>
      </c>
    </row>
    <row r="10" spans="1:4" x14ac:dyDescent="0.35">
      <c r="A10" s="10">
        <v>43983</v>
      </c>
      <c r="B10" s="17">
        <f>IFERROR(AVERAGEIFS('Data Preparation'!$F:$F,'Data Preparation'!$A:$A,"Rural+Urban",'Data Preparation'!$D:$D,A10),"")</f>
        <v>6.2281315605318355E-2</v>
      </c>
      <c r="C10" s="17" t="str">
        <f>IFERROR(AVERAGEIFS('Data Preparation'!$I:$I,'Data Preparation'!$A:$A,"Rural+Urban",'Data Preparation'!$D:$D,A10),"")</f>
        <v/>
      </c>
      <c r="D10" s="6" t="str">
        <f t="shared" si="0"/>
        <v>COVID Period</v>
      </c>
    </row>
    <row r="11" spans="1:4" x14ac:dyDescent="0.35">
      <c r="A11" s="10">
        <v>44013</v>
      </c>
      <c r="B11" s="17">
        <f>IFERROR(AVERAGEIFS('Data Preparation'!$F:$F,'Data Preparation'!$A:$A,"Rural+Urban",'Data Preparation'!$D:$D,A11),"")</f>
        <v>5.2704576976421835E-2</v>
      </c>
      <c r="C11" s="17">
        <f>IFERROR(AVERAGEIFS('Data Preparation'!$I:$I,'Data Preparation'!$A:$A,"Rural+Urban",'Data Preparation'!$D:$D,A11),"")</f>
        <v>0</v>
      </c>
      <c r="D11" s="6" t="str">
        <f t="shared" si="0"/>
        <v>COVID Period</v>
      </c>
    </row>
    <row r="12" spans="1:4" x14ac:dyDescent="0.35">
      <c r="A12" s="10">
        <v>44044</v>
      </c>
      <c r="B12" s="17">
        <f>IFERROR(AVERAGEIFS('Data Preparation'!$F:$F,'Data Preparation'!$A:$A,"Rural+Urban",'Data Preparation'!$D:$D,A12),"")</f>
        <v>6.1379310344827687E-2</v>
      </c>
      <c r="C12" s="17">
        <f>IFERROR(AVERAGEIFS('Data Preparation'!$I:$I,'Data Preparation'!$A:$A,"Rural+Urban",'Data Preparation'!$D:$D,A12),"")</f>
        <v>1.9480519480519431E-2</v>
      </c>
      <c r="D12" s="6" t="str">
        <f t="shared" si="0"/>
        <v>COVID Period</v>
      </c>
    </row>
    <row r="13" spans="1:4" x14ac:dyDescent="0.35">
      <c r="A13" s="10">
        <v>44075</v>
      </c>
      <c r="B13" s="17">
        <f>IFERROR(AVERAGEIFS('Data Preparation'!$F:$F,'Data Preparation'!$A:$A,"Rural+Urban",'Data Preparation'!$D:$D,A13),"")</f>
        <v>6.104252400548682E-2</v>
      </c>
      <c r="C13" s="17">
        <f>IFERROR(AVERAGEIFS('Data Preparation'!$I:$I,'Data Preparation'!$A:$A,"Rural+Urban",'Data Preparation'!$D:$D,A13),"")</f>
        <v>6.3694267515923553E-3</v>
      </c>
      <c r="D13" s="6" t="str">
        <f t="shared" si="0"/>
        <v>COVID Period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AD69"/>
  <sheetViews>
    <sheetView topLeftCell="A57" zoomScale="84" zoomScaleNormal="130" workbookViewId="0">
      <selection activeCell="A57" sqref="A57"/>
    </sheetView>
  </sheetViews>
  <sheetFormatPr defaultRowHeight="14.5" x14ac:dyDescent="0.35"/>
  <cols>
    <col min="1" max="1" width="72.6328125" style="6" customWidth="1"/>
    <col min="2" max="2" width="15.90625" style="6" bestFit="1" customWidth="1"/>
    <col min="3" max="3" width="10" style="6" bestFit="1" customWidth="1"/>
    <col min="4" max="4" width="16.1796875" style="6" bestFit="1" customWidth="1"/>
    <col min="5" max="5" width="8.7265625" style="6"/>
    <col min="6" max="6" width="24.81640625" style="6" bestFit="1" customWidth="1"/>
    <col min="7" max="7" width="10.1796875" style="17" bestFit="1" customWidth="1"/>
    <col min="8" max="8" width="15.81640625" style="6" bestFit="1" customWidth="1"/>
    <col min="9" max="9" width="23.36328125" style="6" bestFit="1" customWidth="1"/>
    <col min="10" max="10" width="18" style="6" bestFit="1" customWidth="1"/>
    <col min="11" max="11" width="7.54296875" style="6" bestFit="1" customWidth="1"/>
    <col min="12" max="12" width="10.453125" style="6" bestFit="1" customWidth="1"/>
    <col min="13" max="13" width="24.81640625" style="6" bestFit="1" customWidth="1"/>
    <col min="14" max="14" width="6.26953125" style="6" bestFit="1" customWidth="1"/>
    <col min="15" max="15" width="24.7265625" style="6" bestFit="1" customWidth="1"/>
    <col min="16" max="16" width="22.36328125" style="6" bestFit="1" customWidth="1"/>
    <col min="17" max="17" width="9.08984375" style="6" bestFit="1" customWidth="1"/>
    <col min="18" max="18" width="20.26953125" style="6" bestFit="1" customWidth="1"/>
    <col min="19" max="19" width="8.7265625" style="6"/>
    <col min="20" max="20" width="10.54296875" style="6" bestFit="1" customWidth="1"/>
    <col min="21" max="21" width="9.36328125" style="6" bestFit="1" customWidth="1"/>
    <col min="22" max="23" width="13.6328125" style="6" bestFit="1" customWidth="1"/>
    <col min="24" max="24" width="10" style="6" bestFit="1" customWidth="1"/>
    <col min="25" max="25" width="16.08984375" style="6" bestFit="1" customWidth="1"/>
    <col min="26" max="26" width="12.1796875" style="6" bestFit="1" customWidth="1"/>
    <col min="27" max="27" width="14.81640625" style="6" bestFit="1" customWidth="1"/>
    <col min="28" max="28" width="16" style="6" bestFit="1" customWidth="1"/>
    <col min="29" max="29" width="15.08984375" style="6" bestFit="1" customWidth="1"/>
    <col min="30" max="30" width="18.7265625" style="6" bestFit="1" customWidth="1"/>
    <col min="31" max="16384" width="8.7265625" style="6"/>
  </cols>
  <sheetData>
    <row r="1" spans="1:30" x14ac:dyDescent="0.35">
      <c r="A1" s="22" t="s">
        <v>2</v>
      </c>
      <c r="B1" s="22" t="s">
        <v>211</v>
      </c>
      <c r="C1" s="22" t="s">
        <v>212</v>
      </c>
      <c r="D1" s="22" t="s">
        <v>213</v>
      </c>
      <c r="E1" s="23"/>
      <c r="F1" s="22" t="s">
        <v>214</v>
      </c>
      <c r="G1" s="24" t="s">
        <v>215</v>
      </c>
      <c r="H1" s="23" t="s">
        <v>216</v>
      </c>
      <c r="I1" s="23" t="s">
        <v>192</v>
      </c>
      <c r="J1" s="23" t="s">
        <v>193</v>
      </c>
      <c r="K1" s="23" t="s">
        <v>20</v>
      </c>
      <c r="L1" s="23" t="s">
        <v>194</v>
      </c>
      <c r="M1" s="23" t="s">
        <v>195</v>
      </c>
      <c r="N1" s="23" t="s">
        <v>23</v>
      </c>
      <c r="O1" s="23" t="s">
        <v>196</v>
      </c>
      <c r="P1" s="23" t="s">
        <v>197</v>
      </c>
      <c r="Q1" s="23" t="s">
        <v>26</v>
      </c>
      <c r="R1" s="23" t="s">
        <v>198</v>
      </c>
      <c r="S1" s="23"/>
      <c r="T1" s="22" t="s">
        <v>217</v>
      </c>
      <c r="U1" s="22" t="s">
        <v>218</v>
      </c>
      <c r="V1" s="22" t="s">
        <v>219</v>
      </c>
      <c r="W1" s="22" t="s">
        <v>220</v>
      </c>
      <c r="X1" s="22" t="s">
        <v>221</v>
      </c>
      <c r="Y1" s="22" t="s">
        <v>222</v>
      </c>
      <c r="Z1" s="22" t="s">
        <v>223</v>
      </c>
      <c r="AA1" s="22" t="s">
        <v>224</v>
      </c>
      <c r="AB1" s="22" t="s">
        <v>225</v>
      </c>
      <c r="AC1" s="22" t="s">
        <v>226</v>
      </c>
      <c r="AD1" s="22" t="s">
        <v>227</v>
      </c>
    </row>
    <row r="2" spans="1:30" x14ac:dyDescent="0.35">
      <c r="A2" s="10">
        <v>44197</v>
      </c>
      <c r="B2" s="6">
        <v>3918.56</v>
      </c>
      <c r="C2" s="17"/>
      <c r="D2" s="17">
        <f>IFERROR(AVERAGEIFS('Data Preparation'!$F:$F,'Data Preparation'!$A:$A,"Rural+Urban",'Data Preparation'!$B:$B,YEAR(A2),'Data Preparation'!$C:$C,TEXT(A2,"mmmm")),"")</f>
        <v>4.7270306258322403E-2</v>
      </c>
      <c r="F2" s="9" t="s">
        <v>216</v>
      </c>
      <c r="G2" s="19">
        <f>CORREL($C$3:$C$30,$T$3:$T$30)</f>
        <v>0.22234526341406091</v>
      </c>
      <c r="H2" s="6" cm="1">
        <f t="array" ref="H2">INDEX('Row Data'!$P:$P,290+(ROW()-2)*3)</f>
        <v>154.69999999999999</v>
      </c>
      <c r="I2" s="6" cm="1">
        <f t="array" ref="I2">INDEX('Row Data'!$Q:$Q,290+(ROW()-2)*3)</f>
        <v>186.5</v>
      </c>
      <c r="J2" s="6" cm="1">
        <f t="array" ref="J2">INDEX('Row Data'!$T:$T,290+(ROW()-2)*3)</f>
        <v>158.4</v>
      </c>
      <c r="K2" s="6" cm="1">
        <f t="array" ref="K2">INDEX('Row Data'!$U:$U,290+(ROW()-2)*3)</f>
        <v>0</v>
      </c>
      <c r="L2" s="6" cm="1">
        <f t="array" ref="L2">INDEX('Row Data'!$V:$V,290+(ROW()-2)*3)</f>
        <v>154.4</v>
      </c>
      <c r="M2" s="6" cm="1">
        <f t="array" ref="M2">INDEX('Row Data'!$W:$W,290+(ROW()-2)*3)</f>
        <v>154.80000000000001</v>
      </c>
      <c r="N2" s="6" cm="1">
        <f t="array" ref="N2">INDEX('Row Data'!$X:$X,290+(ROW()-2)*3)</f>
        <v>164.3</v>
      </c>
      <c r="O2" s="6" cm="1">
        <f t="array" ref="O2">INDEX('Row Data'!$Y:$Y,290+(ROW()-2)*3)</f>
        <v>150.19999999999999</v>
      </c>
      <c r="P2" s="6" cm="1">
        <f t="array" ref="P2">INDEX('Row Data'!$Z:$Z,290+(ROW()-2)*3)</f>
        <v>157</v>
      </c>
      <c r="Q2" s="6" cm="1">
        <f t="array" ref="Q2">INDEX('Row Data'!$AA:$AA,290+(ROW()-2)*3)</f>
        <v>163.6</v>
      </c>
      <c r="R2" s="6" cm="1">
        <f t="array" ref="R2">INDEX('Row Data'!$AB:$AB,290+(ROW()-2)*3)</f>
        <v>155.19999999999999</v>
      </c>
    </row>
    <row r="3" spans="1:30" x14ac:dyDescent="0.35">
      <c r="A3" s="10">
        <v>44228</v>
      </c>
      <c r="B3" s="6">
        <v>4399.41</v>
      </c>
      <c r="C3" s="17">
        <f>B3/B2-1</f>
        <v>0.12271089379772149</v>
      </c>
      <c r="D3" s="17">
        <f>IFERROR(AVERAGEIFS('Data Preparation'!$F:$F,'Data Preparation'!$A:$A,"Rural+Urban",'Data Preparation'!$B:$B,YEAR(A3),'Data Preparation'!$C:$C,TEXT(A3,"mmmm")),"")</f>
        <v>5.0301810865191143E-2</v>
      </c>
      <c r="F3" s="9" t="s">
        <v>192</v>
      </c>
      <c r="G3" s="17">
        <f>CORREL($C$3:$C$30,$U$3:$U$30)</f>
        <v>-4.6461168552837433E-2</v>
      </c>
      <c r="H3" s="6" cm="1">
        <f t="array" ref="H3">INDEX('Row Data'!$P:$P,290+(ROW()-2)*3)</f>
        <v>154.5</v>
      </c>
      <c r="I3" s="6" cm="1">
        <f t="array" ref="I3">INDEX('Row Data'!$Q:$Q,290+(ROW()-2)*3)</f>
        <v>186.1</v>
      </c>
      <c r="J3" s="6" cm="1">
        <f t="array" ref="J3">INDEX('Row Data'!$T:$T,290+(ROW()-2)*3)</f>
        <v>158.9</v>
      </c>
      <c r="K3" s="6" t="str" cm="1">
        <f t="array" ref="K3">INDEX('Row Data'!$U:$U,290+(ROW()-2)*3)</f>
        <v>-</v>
      </c>
      <c r="L3" s="6" cm="1">
        <f t="array" ref="L3">INDEX('Row Data'!$V:$V,290+(ROW()-2)*3)</f>
        <v>156</v>
      </c>
      <c r="M3" s="6" cm="1">
        <f t="array" ref="M3">INDEX('Row Data'!$W:$W,290+(ROW()-2)*3)</f>
        <v>154.80000000000001</v>
      </c>
      <c r="N3" s="6" cm="1">
        <f t="array" ref="N3">INDEX('Row Data'!$X:$X,290+(ROW()-2)*3)</f>
        <v>164.6</v>
      </c>
      <c r="O3" s="6" cm="1">
        <f t="array" ref="O3">INDEX('Row Data'!$Y:$Y,290+(ROW()-2)*3)</f>
        <v>151.30000000000001</v>
      </c>
      <c r="P3" s="6" cm="1">
        <f t="array" ref="P3">INDEX('Row Data'!$Z:$Z,290+(ROW()-2)*3)</f>
        <v>157.80000000000001</v>
      </c>
      <c r="Q3" s="6" cm="1">
        <f t="array" ref="Q3">INDEX('Row Data'!$AA:$AA,290+(ROW()-2)*3)</f>
        <v>163.80000000000001</v>
      </c>
      <c r="R3" s="6" cm="1">
        <f t="array" ref="R3">INDEX('Row Data'!$AB:$AB,290+(ROW()-2)*3)</f>
        <v>153.1</v>
      </c>
      <c r="T3" s="17">
        <f>IFERROR(H3/H2-1,"")</f>
        <v>-1.2928248222364713E-3</v>
      </c>
      <c r="U3" s="17">
        <f t="shared" ref="U3:AD3" si="0">IFERROR(I3/I2-1,"")</f>
        <v>-2.1447721179624901E-3</v>
      </c>
      <c r="V3" s="17">
        <f t="shared" si="0"/>
        <v>3.1565656565657463E-3</v>
      </c>
      <c r="W3" s="17" t="str">
        <f t="shared" si="0"/>
        <v/>
      </c>
      <c r="X3" s="17">
        <f t="shared" si="0"/>
        <v>1.0362694300518172E-2</v>
      </c>
      <c r="Y3" s="17">
        <f t="shared" si="0"/>
        <v>0</v>
      </c>
      <c r="Z3" s="17">
        <f t="shared" si="0"/>
        <v>1.8259281801582539E-3</v>
      </c>
      <c r="AA3" s="17">
        <f t="shared" si="0"/>
        <v>7.3235685752330859E-3</v>
      </c>
      <c r="AB3" s="17">
        <f t="shared" si="0"/>
        <v>5.0955414012738842E-3</v>
      </c>
      <c r="AC3" s="17">
        <f t="shared" si="0"/>
        <v>1.2224938875307068E-3</v>
      </c>
      <c r="AD3" s="17">
        <f t="shared" si="0"/>
        <v>-1.3530927835051498E-2</v>
      </c>
    </row>
    <row r="4" spans="1:30" x14ac:dyDescent="0.35">
      <c r="A4" s="10">
        <v>44256</v>
      </c>
      <c r="B4" s="6">
        <v>4646.3599999999997</v>
      </c>
      <c r="C4" s="17">
        <f t="shared" ref="C4:C37" si="1">B4/B3-1</f>
        <v>5.6132526861556453E-2</v>
      </c>
      <c r="D4" s="17">
        <f>IFERROR(AVERAGEIFS('Data Preparation'!$F:$F,'Data Preparation'!$A:$A,"Rural+Urban",'Data Preparation'!$B:$B,YEAR(A4),'Data Preparation'!$C:$C,TEXT(A4,"mmmm")),"")</f>
        <v>5.5181695827725585E-2</v>
      </c>
      <c r="F4" s="9" t="s">
        <v>193</v>
      </c>
      <c r="G4" s="17">
        <f>CORREL($C$3:$C$30,$V$3:$V$30)</f>
        <v>1.0204544986784757E-2</v>
      </c>
      <c r="H4" s="6" cm="1">
        <f t="array" ref="H4">INDEX('Row Data'!$P:$P,290+(ROW()-2)*3)</f>
        <v>155.6</v>
      </c>
      <c r="I4" s="6" cm="1">
        <f t="array" ref="I4">INDEX('Row Data'!$Q:$Q,290+(ROW()-2)*3)</f>
        <v>186.8</v>
      </c>
      <c r="J4" s="6" cm="1">
        <f t="array" ref="J4">INDEX('Row Data'!$T:$T,290+(ROW()-2)*3)</f>
        <v>159.9</v>
      </c>
      <c r="K4" s="6" t="str" cm="1">
        <f t="array" ref="K4">INDEX('Row Data'!$U:$U,290+(ROW()-2)*3)</f>
        <v>-</v>
      </c>
      <c r="L4" s="6" cm="1">
        <f t="array" ref="L4">INDEX('Row Data'!$V:$V,290+(ROW()-2)*3)</f>
        <v>156</v>
      </c>
      <c r="M4" s="6" cm="1">
        <f t="array" ref="M4">INDEX('Row Data'!$W:$W,290+(ROW()-2)*3)</f>
        <v>155.5</v>
      </c>
      <c r="N4" s="6" cm="1">
        <f t="array" ref="N4">INDEX('Row Data'!$X:$X,290+(ROW()-2)*3)</f>
        <v>165.3</v>
      </c>
      <c r="O4" s="6" cm="1">
        <f t="array" ref="O4">INDEX('Row Data'!$Y:$Y,290+(ROW()-2)*3)</f>
        <v>151.69999999999999</v>
      </c>
      <c r="P4" s="6" cm="1">
        <f t="array" ref="P4">INDEX('Row Data'!$Z:$Z,290+(ROW()-2)*3)</f>
        <v>158.6</v>
      </c>
      <c r="Q4" s="6" cm="1">
        <f t="array" ref="Q4">INDEX('Row Data'!$AA:$AA,290+(ROW()-2)*3)</f>
        <v>164.1</v>
      </c>
      <c r="R4" s="6" cm="1">
        <f t="array" ref="R4">INDEX('Row Data'!$AB:$AB,290+(ROW()-2)*3)</f>
        <v>154.6</v>
      </c>
      <c r="T4" s="17">
        <f t="shared" ref="T4:T29" si="2">IFERROR(H4/H3-1,"")</f>
        <v>7.119741100323651E-3</v>
      </c>
      <c r="U4" s="17">
        <f t="shared" ref="U4:U29" si="3">IFERROR(I4/I3-1,"")</f>
        <v>3.7614185921548415E-3</v>
      </c>
      <c r="V4" s="17">
        <f t="shared" ref="V4:V29" si="4">IFERROR(J4/J3-1,"")</f>
        <v>6.2932662051604638E-3</v>
      </c>
      <c r="W4" s="17" t="str">
        <f t="shared" ref="W4:W29" si="5">IFERROR(K4/K3-1,"")</f>
        <v/>
      </c>
      <c r="X4" s="17">
        <f t="shared" ref="X4:X29" si="6">IFERROR(L4/L3-1,"")</f>
        <v>0</v>
      </c>
      <c r="Y4" s="17">
        <f t="shared" ref="Y4:Y29" si="7">IFERROR(M4/M3-1,"")</f>
        <v>4.5219638242892657E-3</v>
      </c>
      <c r="Z4" s="17">
        <f t="shared" ref="Z4:Z29" si="8">IFERROR(N4/N3-1,"")</f>
        <v>4.2527339003646247E-3</v>
      </c>
      <c r="AA4" s="17">
        <f t="shared" ref="AA4:AA29" si="9">IFERROR(O4/O3-1,"")</f>
        <v>2.6437541308657053E-3</v>
      </c>
      <c r="AB4" s="17">
        <f t="shared" ref="AB4:AB29" si="10">IFERROR(P4/P3-1,"")</f>
        <v>5.069708491761693E-3</v>
      </c>
      <c r="AC4" s="17">
        <f t="shared" ref="AC4:AC29" si="11">IFERROR(Q4/Q3-1,"")</f>
        <v>1.831501831501825E-3</v>
      </c>
      <c r="AD4" s="17">
        <f t="shared" ref="AD4:AD29" si="12">IFERROR(R4/R3-1,"")</f>
        <v>9.7975179621163644E-3</v>
      </c>
    </row>
    <row r="5" spans="1:30" x14ac:dyDescent="0.35">
      <c r="A5" s="10">
        <v>44287</v>
      </c>
      <c r="B5" s="6">
        <v>4684.6400000000003</v>
      </c>
      <c r="C5" s="17">
        <f t="shared" si="1"/>
        <v>8.2387072891469959E-3</v>
      </c>
      <c r="D5" s="17" t="str">
        <f>IFERROR(AVERAGEIFS('Data Preparation'!$F:$F,'Data Preparation'!$A:$A,"Rural+Urban",'Data Preparation'!$B:$B,YEAR(A5),'Data Preparation'!$C:$C,TEXT(A5,"mmmm")),"")</f>
        <v/>
      </c>
      <c r="F5" s="9" t="s">
        <v>20</v>
      </c>
      <c r="G5" s="17" t="s">
        <v>228</v>
      </c>
      <c r="H5" s="6" cm="1">
        <f t="array" ref="H5">INDEX('Row Data'!$P:$P,290+(ROW()-2)*3)</f>
        <v>158.69999999999999</v>
      </c>
      <c r="I5" s="6" cm="1">
        <f t="array" ref="I5">INDEX('Row Data'!$Q:$Q,290+(ROW()-2)*3)</f>
        <v>189.6</v>
      </c>
      <c r="J5" s="6" cm="1">
        <f t="array" ref="J5">INDEX('Row Data'!$T:$T,290+(ROW()-2)*3)</f>
        <v>164.5</v>
      </c>
      <c r="K5" s="6" cm="1">
        <f t="array" ref="K5">INDEX('Row Data'!$U:$U,290+(ROW()-2)*3)</f>
        <v>0</v>
      </c>
      <c r="L5" s="6" cm="1">
        <f t="array" ref="L5">INDEX('Row Data'!$V:$V,290+(ROW()-2)*3)</f>
        <v>161.69999999999999</v>
      </c>
      <c r="M5" s="6" cm="1">
        <f t="array" ref="M5">INDEX('Row Data'!$W:$W,290+(ROW()-2)*3)</f>
        <v>158.80000000000001</v>
      </c>
      <c r="N5" s="6" cm="1">
        <f t="array" ref="N5">INDEX('Row Data'!$X:$X,290+(ROW()-2)*3)</f>
        <v>169.1</v>
      </c>
      <c r="O5" s="6" cm="1">
        <f t="array" ref="O5">INDEX('Row Data'!$Y:$Y,290+(ROW()-2)*3)</f>
        <v>153.19999999999999</v>
      </c>
      <c r="P5" s="6" cm="1">
        <f t="array" ref="P5">INDEX('Row Data'!$Z:$Z,290+(ROW()-2)*3)</f>
        <v>160</v>
      </c>
      <c r="Q5" s="6" cm="1">
        <f t="array" ref="Q5">INDEX('Row Data'!$AA:$AA,290+(ROW()-2)*3)</f>
        <v>167.6</v>
      </c>
      <c r="R5" s="6" cm="1">
        <f t="array" ref="R5">INDEX('Row Data'!$AB:$AB,290+(ROW()-2)*3)</f>
        <v>159.30000000000001</v>
      </c>
      <c r="T5" s="17">
        <f t="shared" si="2"/>
        <v>1.9922879177377784E-2</v>
      </c>
      <c r="U5" s="17">
        <f t="shared" si="3"/>
        <v>1.4989293361884259E-2</v>
      </c>
      <c r="V5" s="17">
        <f t="shared" si="4"/>
        <v>2.8767979987492254E-2</v>
      </c>
      <c r="W5" s="17" t="str">
        <f t="shared" si="5"/>
        <v/>
      </c>
      <c r="X5" s="17">
        <f t="shared" si="6"/>
        <v>3.6538461538461409E-2</v>
      </c>
      <c r="Y5" s="17">
        <f t="shared" si="7"/>
        <v>2.1221864951768588E-2</v>
      </c>
      <c r="Z5" s="17">
        <f t="shared" si="8"/>
        <v>2.2988505747126409E-2</v>
      </c>
      <c r="AA5" s="17">
        <f t="shared" si="9"/>
        <v>9.8879367172051147E-3</v>
      </c>
      <c r="AB5" s="17">
        <f t="shared" si="10"/>
        <v>8.8272383354350836E-3</v>
      </c>
      <c r="AC5" s="17">
        <f t="shared" si="11"/>
        <v>2.1328458257160232E-2</v>
      </c>
      <c r="AD5" s="17">
        <f t="shared" si="12"/>
        <v>3.0401034928848825E-2</v>
      </c>
    </row>
    <row r="6" spans="1:30" x14ac:dyDescent="0.35">
      <c r="A6" s="10">
        <v>44317</v>
      </c>
      <c r="B6" s="6">
        <v>4870.9799999999996</v>
      </c>
      <c r="C6" s="17">
        <f t="shared" si="1"/>
        <v>3.9776802486423568E-2</v>
      </c>
      <c r="D6" s="17" t="str">
        <f>IFERROR(AVERAGEIFS('Data Preparation'!$F:$F,'Data Preparation'!$A:$A,"Rural+Urban",'Data Preparation'!$B:$B,YEAR(A6),'Data Preparation'!$C:$C,TEXT(A6,"mmmm")),"")</f>
        <v/>
      </c>
      <c r="F6" s="9" t="s">
        <v>194</v>
      </c>
      <c r="G6" s="17">
        <f>CORREL($C$3:$C$30,$X$3:$X$30)</f>
        <v>0.3275982349730534</v>
      </c>
      <c r="H6" s="6" cm="1">
        <f t="array" ref="H6">INDEX('Row Data'!$P:$P,290+(ROW()-2)*3)</f>
        <v>160.5</v>
      </c>
      <c r="I6" s="6" cm="1">
        <f t="array" ref="I6">INDEX('Row Data'!$Q:$Q,290+(ROW()-2)*3)</f>
        <v>189.1</v>
      </c>
      <c r="J6" s="6" cm="1">
        <f t="array" ref="J6">INDEX('Row Data'!$T:$T,290+(ROW()-2)*3)</f>
        <v>164.6</v>
      </c>
      <c r="K6" s="6" cm="1">
        <f t="array" ref="K6">INDEX('Row Data'!$U:$U,290+(ROW()-2)*3)</f>
        <v>0</v>
      </c>
      <c r="L6" s="6" cm="1">
        <f t="array" ref="L6">INDEX('Row Data'!$V:$V,290+(ROW()-2)*3)</f>
        <v>162.1</v>
      </c>
      <c r="M6" s="6" cm="1">
        <f t="array" ref="M6">INDEX('Row Data'!$W:$W,290+(ROW()-2)*3)</f>
        <v>159.19999999999999</v>
      </c>
      <c r="N6" s="6" cm="1">
        <f t="array" ref="N6">INDEX('Row Data'!$X:$X,290+(ROW()-2)*3)</f>
        <v>169.7</v>
      </c>
      <c r="O6" s="6" cm="1">
        <f t="array" ref="O6">INDEX('Row Data'!$Y:$Y,290+(ROW()-2)*3)</f>
        <v>154.19999999999999</v>
      </c>
      <c r="P6" s="6" cm="1">
        <f t="array" ref="P6">INDEX('Row Data'!$Z:$Z,290+(ROW()-2)*3)</f>
        <v>160.4</v>
      </c>
      <c r="Q6" s="6" cm="1">
        <f t="array" ref="Q6">INDEX('Row Data'!$AA:$AA,290+(ROW()-2)*3)</f>
        <v>166.8</v>
      </c>
      <c r="R6" s="6" cm="1">
        <f t="array" ref="R6">INDEX('Row Data'!$AB:$AB,290+(ROW()-2)*3)</f>
        <v>159.4</v>
      </c>
      <c r="T6" s="17">
        <f t="shared" si="2"/>
        <v>1.1342155009451904E-2</v>
      </c>
      <c r="U6" s="17">
        <f t="shared" si="3"/>
        <v>-2.6371308016878148E-3</v>
      </c>
      <c r="V6" s="17">
        <f t="shared" si="4"/>
        <v>6.0790273556232677E-4</v>
      </c>
      <c r="W6" s="17" t="str">
        <f t="shared" si="5"/>
        <v/>
      </c>
      <c r="X6" s="17">
        <f t="shared" si="6"/>
        <v>2.4737167594310883E-3</v>
      </c>
      <c r="Y6" s="17">
        <f t="shared" si="7"/>
        <v>2.5188916876572875E-3</v>
      </c>
      <c r="Z6" s="17">
        <f t="shared" si="8"/>
        <v>3.548196333530429E-3</v>
      </c>
      <c r="AA6" s="17">
        <f t="shared" si="9"/>
        <v>6.5274151436032213E-3</v>
      </c>
      <c r="AB6" s="17">
        <f t="shared" si="10"/>
        <v>2.4999999999999467E-3</v>
      </c>
      <c r="AC6" s="17">
        <f t="shared" si="11"/>
        <v>-4.7732696897373472E-3</v>
      </c>
      <c r="AD6" s="17">
        <f t="shared" si="12"/>
        <v>6.2774639045826142E-4</v>
      </c>
    </row>
    <row r="7" spans="1:30" x14ac:dyDescent="0.35">
      <c r="A7" s="10">
        <v>44348</v>
      </c>
      <c r="B7" s="6">
        <v>5281.48</v>
      </c>
      <c r="C7" s="17">
        <f t="shared" si="1"/>
        <v>8.4274622355255069E-2</v>
      </c>
      <c r="D7" s="17">
        <f>IFERROR(AVERAGEIFS('Data Preparation'!$F:$F,'Data Preparation'!$A:$A,"Rural+Urban",'Data Preparation'!$B:$B,YEAR(A7),'Data Preparation'!$C:$C,TEXT(A7,"mmmm")),"")</f>
        <v>6.2582345191040778E-2</v>
      </c>
      <c r="F7" s="9" t="s">
        <v>195</v>
      </c>
      <c r="G7" s="17">
        <f>CORREL($C$3:$C$30,$Y$3:$Y$30)</f>
        <v>-2.9660893541891768E-2</v>
      </c>
      <c r="H7" s="6" cm="1">
        <f t="array" ref="H7">INDEX('Row Data'!$P:$P,290+(ROW()-2)*3)</f>
        <v>161.69999999999999</v>
      </c>
      <c r="I7" s="6" cm="1">
        <f t="array" ref="I7">INDEX('Row Data'!$Q:$Q,290+(ROW()-2)*3)</f>
        <v>189.7</v>
      </c>
      <c r="J7" s="6" cm="1">
        <f t="array" ref="J7">INDEX('Row Data'!$T:$T,290+(ROW()-2)*3)</f>
        <v>165.3</v>
      </c>
      <c r="K7" s="6" cm="1">
        <f t="array" ref="K7">INDEX('Row Data'!$U:$U,290+(ROW()-2)*3)</f>
        <v>0</v>
      </c>
      <c r="L7" s="6" cm="1">
        <f t="array" ref="L7">INDEX('Row Data'!$V:$V,290+(ROW()-2)*3)</f>
        <v>162.5</v>
      </c>
      <c r="M7" s="6" cm="1">
        <f t="array" ref="M7">INDEX('Row Data'!$W:$W,290+(ROW()-2)*3)</f>
        <v>160.30000000000001</v>
      </c>
      <c r="N7" s="6" cm="1">
        <f t="array" ref="N7">INDEX('Row Data'!$X:$X,290+(ROW()-2)*3)</f>
        <v>170.4</v>
      </c>
      <c r="O7" s="6" cm="1">
        <f t="array" ref="O7">INDEX('Row Data'!$Y:$Y,290+(ROW()-2)*3)</f>
        <v>157.1</v>
      </c>
      <c r="P7" s="6" cm="1">
        <f t="array" ref="P7">INDEX('Row Data'!$Z:$Z,290+(ROW()-2)*3)</f>
        <v>160.69999999999999</v>
      </c>
      <c r="Q7" s="6" cm="1">
        <f t="array" ref="Q7">INDEX('Row Data'!$AA:$AA,290+(ROW()-2)*3)</f>
        <v>167.2</v>
      </c>
      <c r="R7" s="6" cm="1">
        <f t="array" ref="R7">INDEX('Row Data'!$AB:$AB,290+(ROW()-2)*3)</f>
        <v>160.4</v>
      </c>
      <c r="T7" s="17">
        <f t="shared" si="2"/>
        <v>7.4766355140185592E-3</v>
      </c>
      <c r="U7" s="17">
        <f t="shared" si="3"/>
        <v>3.1729243786355887E-3</v>
      </c>
      <c r="V7" s="17">
        <f t="shared" si="4"/>
        <v>4.2527339003646247E-3</v>
      </c>
      <c r="W7" s="17" t="str">
        <f t="shared" si="5"/>
        <v/>
      </c>
      <c r="X7" s="17">
        <f t="shared" si="6"/>
        <v>2.467612584824197E-3</v>
      </c>
      <c r="Y7" s="17">
        <f t="shared" si="7"/>
        <v>6.9095477386935666E-3</v>
      </c>
      <c r="Z7" s="17">
        <f t="shared" si="8"/>
        <v>4.1249263406011316E-3</v>
      </c>
      <c r="AA7" s="17">
        <f t="shared" si="9"/>
        <v>1.8806744487678273E-2</v>
      </c>
      <c r="AB7" s="17">
        <f t="shared" si="10"/>
        <v>1.8703241895261513E-3</v>
      </c>
      <c r="AC7" s="17">
        <f t="shared" si="11"/>
        <v>2.3980815347719453E-3</v>
      </c>
      <c r="AD7" s="17">
        <f t="shared" si="12"/>
        <v>6.273525721455453E-3</v>
      </c>
    </row>
    <row r="8" spans="1:30" x14ac:dyDescent="0.35">
      <c r="A8" s="10">
        <v>44378</v>
      </c>
      <c r="B8" s="6">
        <v>5460.9</v>
      </c>
      <c r="C8" s="17">
        <f t="shared" si="1"/>
        <v>3.3971538280936464E-2</v>
      </c>
      <c r="D8" s="17">
        <f>IFERROR(AVERAGEIFS('Data Preparation'!$F:$F,'Data Preparation'!$A:$A,"Rural+Urban",'Data Preparation'!$B:$B,YEAR(A8),'Data Preparation'!$C:$C,TEXT(A8,"mmmm")),"")</f>
        <v>7.0487483530961681E-2</v>
      </c>
      <c r="F8" s="9" t="s">
        <v>23</v>
      </c>
      <c r="G8" s="17">
        <f>CORREL($C$3:$C$30,$Z$3:$Z$30)</f>
        <v>-7.6397654327196668E-2</v>
      </c>
      <c r="H8" s="6" cm="1">
        <f t="array" ref="H8">INDEX('Row Data'!$P:$P,290+(ROW()-2)*3)</f>
        <v>161.80000000000001</v>
      </c>
      <c r="I8" s="6" cm="1">
        <f t="array" ref="I8">INDEX('Row Data'!$Q:$Q,290+(ROW()-2)*3)</f>
        <v>190.2</v>
      </c>
      <c r="J8" s="6" cm="1">
        <f t="array" ref="J8">INDEX('Row Data'!$T:$T,290+(ROW()-2)*3)</f>
        <v>166.3</v>
      </c>
      <c r="K8" s="6" cm="1">
        <f t="array" ref="K8">INDEX('Row Data'!$U:$U,290+(ROW()-2)*3)</f>
        <v>0</v>
      </c>
      <c r="L8" s="6" cm="1">
        <f t="array" ref="L8">INDEX('Row Data'!$V:$V,290+(ROW()-2)*3)</f>
        <v>163.1</v>
      </c>
      <c r="M8" s="6" cm="1">
        <f t="array" ref="M8">INDEX('Row Data'!$W:$W,290+(ROW()-2)*3)</f>
        <v>160.9</v>
      </c>
      <c r="N8" s="6" cm="1">
        <f t="array" ref="N8">INDEX('Row Data'!$X:$X,290+(ROW()-2)*3)</f>
        <v>171.1</v>
      </c>
      <c r="O8" s="6" cm="1">
        <f t="array" ref="O8">INDEX('Row Data'!$Y:$Y,290+(ROW()-2)*3)</f>
        <v>157.69999999999999</v>
      </c>
      <c r="P8" s="6" cm="1">
        <f t="array" ref="P8">INDEX('Row Data'!$Z:$Z,290+(ROW()-2)*3)</f>
        <v>161.1</v>
      </c>
      <c r="Q8" s="6" cm="1">
        <f t="array" ref="Q8">INDEX('Row Data'!$AA:$AA,290+(ROW()-2)*3)</f>
        <v>167.5</v>
      </c>
      <c r="R8" s="6" cm="1">
        <f t="array" ref="R8">INDEX('Row Data'!$AB:$AB,290+(ROW()-2)*3)</f>
        <v>160.30000000000001</v>
      </c>
      <c r="T8" s="17">
        <f t="shared" si="2"/>
        <v>6.1842918985788309E-4</v>
      </c>
      <c r="U8" s="17">
        <f t="shared" si="3"/>
        <v>2.6357406431207764E-3</v>
      </c>
      <c r="V8" s="17">
        <f t="shared" si="4"/>
        <v>6.0496067755595462E-3</v>
      </c>
      <c r="W8" s="17" t="str">
        <f t="shared" si="5"/>
        <v/>
      </c>
      <c r="X8" s="17">
        <f t="shared" si="6"/>
        <v>3.6923076923076614E-3</v>
      </c>
      <c r="Y8" s="17">
        <f t="shared" si="7"/>
        <v>3.7429819089207506E-3</v>
      </c>
      <c r="Z8" s="17">
        <f t="shared" si="8"/>
        <v>4.107981220657253E-3</v>
      </c>
      <c r="AA8" s="17">
        <f t="shared" si="9"/>
        <v>3.819223424570195E-3</v>
      </c>
      <c r="AB8" s="17">
        <f t="shared" si="10"/>
        <v>2.4891101431239182E-3</v>
      </c>
      <c r="AC8" s="17">
        <f t="shared" si="11"/>
        <v>1.7942583732057926E-3</v>
      </c>
      <c r="AD8" s="17">
        <f t="shared" si="12"/>
        <v>-6.2344139650871711E-4</v>
      </c>
    </row>
    <row r="9" spans="1:30" x14ac:dyDescent="0.35">
      <c r="A9" s="10">
        <v>44409</v>
      </c>
      <c r="B9" s="6">
        <v>5108.7299999999996</v>
      </c>
      <c r="C9" s="17">
        <f t="shared" si="1"/>
        <v>-6.4489369884085046E-2</v>
      </c>
      <c r="D9" s="17">
        <f>IFERROR(AVERAGEIFS('Data Preparation'!$F:$F,'Data Preparation'!$A:$A,"Rural+Urban",'Data Preparation'!$B:$B,YEAR(A9),'Data Preparation'!$C:$C,TEXT(A9,"mmmm")),"")</f>
        <v>6.0428849902534054E-2</v>
      </c>
      <c r="F9" s="9" t="s">
        <v>196</v>
      </c>
      <c r="G9" s="17">
        <f>CORREL($C$3:$C$30,$AA$3:$AA$30)</f>
        <v>0.32024080907913932</v>
      </c>
      <c r="H9" s="6" cm="1">
        <f t="array" ref="H9">INDEX('Row Data'!$P:$P,290+(ROW()-2)*3)</f>
        <v>162.1</v>
      </c>
      <c r="I9" s="6" cm="1">
        <f t="array" ref="I9">INDEX('Row Data'!$Q:$Q,290+(ROW()-2)*3)</f>
        <v>190.5</v>
      </c>
      <c r="J9" s="6" cm="1">
        <f t="array" ref="J9">INDEX('Row Data'!$T:$T,290+(ROW()-2)*3)</f>
        <v>167.1</v>
      </c>
      <c r="K9" s="6" cm="1">
        <f t="array" ref="K9">INDEX('Row Data'!$U:$U,290+(ROW()-2)*3)</f>
        <v>0</v>
      </c>
      <c r="L9" s="6" cm="1">
        <f t="array" ref="L9">INDEX('Row Data'!$V:$V,290+(ROW()-2)*3)</f>
        <v>163.69999999999999</v>
      </c>
      <c r="M9" s="6" cm="1">
        <f t="array" ref="M9">INDEX('Row Data'!$W:$W,290+(ROW()-2)*3)</f>
        <v>161.30000000000001</v>
      </c>
      <c r="N9" s="6" cm="1">
        <f t="array" ref="N9">INDEX('Row Data'!$X:$X,290+(ROW()-2)*3)</f>
        <v>171.9</v>
      </c>
      <c r="O9" s="6" cm="1">
        <f t="array" ref="O9">INDEX('Row Data'!$Y:$Y,290+(ROW()-2)*3)</f>
        <v>157.80000000000001</v>
      </c>
      <c r="P9" s="6" cm="1">
        <f t="array" ref="P9">INDEX('Row Data'!$Z:$Z,290+(ROW()-2)*3)</f>
        <v>162.69999999999999</v>
      </c>
      <c r="Q9" s="6" cm="1">
        <f t="array" ref="Q9">INDEX('Row Data'!$AA:$AA,290+(ROW()-2)*3)</f>
        <v>168.5</v>
      </c>
      <c r="R9" s="6" cm="1">
        <f t="array" ref="R9">INDEX('Row Data'!$AB:$AB,290+(ROW()-2)*3)</f>
        <v>160.19999999999999</v>
      </c>
      <c r="T9" s="17">
        <f t="shared" si="2"/>
        <v>1.8541409147094789E-3</v>
      </c>
      <c r="U9" s="17">
        <f t="shared" si="3"/>
        <v>1.577287066246047E-3</v>
      </c>
      <c r="V9" s="17">
        <f t="shared" si="4"/>
        <v>4.8105832832230355E-3</v>
      </c>
      <c r="W9" s="17" t="str">
        <f t="shared" si="5"/>
        <v/>
      </c>
      <c r="X9" s="17">
        <f t="shared" si="6"/>
        <v>3.6787247087675112E-3</v>
      </c>
      <c r="Y9" s="17">
        <f t="shared" si="7"/>
        <v>2.4860161591051533E-3</v>
      </c>
      <c r="Z9" s="17">
        <f t="shared" si="8"/>
        <v>4.6756282875513033E-3</v>
      </c>
      <c r="AA9" s="17">
        <f t="shared" si="9"/>
        <v>6.3411540900459862E-4</v>
      </c>
      <c r="AB9" s="17">
        <f t="shared" si="10"/>
        <v>9.9317194289261224E-3</v>
      </c>
      <c r="AC9" s="17">
        <f t="shared" si="11"/>
        <v>5.9701492537314049E-3</v>
      </c>
      <c r="AD9" s="17">
        <f t="shared" si="12"/>
        <v>-6.2383031815360646E-4</v>
      </c>
    </row>
    <row r="10" spans="1:30" x14ac:dyDescent="0.35">
      <c r="A10" s="10">
        <v>44440</v>
      </c>
      <c r="B10" s="6">
        <v>5359.17</v>
      </c>
      <c r="C10" s="17">
        <f t="shared" si="1"/>
        <v>4.9021968277830341E-2</v>
      </c>
      <c r="D10" s="17">
        <f>IFERROR(AVERAGEIFS('Data Preparation'!$F:$F,'Data Preparation'!$A:$A,"Rural+Urban",'Data Preparation'!$B:$B,YEAR(A10),'Data Preparation'!$C:$C,TEXT(A10,"mmmm")),"")</f>
        <v>5.4945054945054972E-2</v>
      </c>
      <c r="F10" s="9" t="s">
        <v>197</v>
      </c>
      <c r="G10" s="17">
        <f>CORREL($C$3:$C$30,$AB$3:$AB$30)</f>
        <v>-1.5757863348442952E-2</v>
      </c>
      <c r="H10" s="6" cm="1">
        <f t="array" ref="H10">INDEX('Row Data'!$P:$P,290+(ROW()-2)*3)</f>
        <v>165.5</v>
      </c>
      <c r="I10" s="6" cm="1">
        <f t="array" ref="I10">INDEX('Row Data'!$Q:$Q,290+(ROW()-2)*3)</f>
        <v>191.2</v>
      </c>
      <c r="J10" s="6" cm="1">
        <f t="array" ref="J10">INDEX('Row Data'!$T:$T,290+(ROW()-2)*3)</f>
        <v>168.3</v>
      </c>
      <c r="K10" s="6" cm="1">
        <f t="array" ref="K10">INDEX('Row Data'!$U:$U,290+(ROW()-2)*3)</f>
        <v>0</v>
      </c>
      <c r="L10" s="6" cm="1">
        <f t="array" ref="L10">INDEX('Row Data'!$V:$V,290+(ROW()-2)*3)</f>
        <v>165.5</v>
      </c>
      <c r="M10" s="6" cm="1">
        <f t="array" ref="M10">INDEX('Row Data'!$W:$W,290+(ROW()-2)*3)</f>
        <v>162</v>
      </c>
      <c r="N10" s="6" cm="1">
        <f t="array" ref="N10">INDEX('Row Data'!$X:$X,290+(ROW()-2)*3)</f>
        <v>172.5</v>
      </c>
      <c r="O10" s="6" cm="1">
        <f t="array" ref="O10">INDEX('Row Data'!$Y:$Y,290+(ROW()-2)*3)</f>
        <v>159.5</v>
      </c>
      <c r="P10" s="6" cm="1">
        <f t="array" ref="P10">INDEX('Row Data'!$Z:$Z,290+(ROW()-2)*3)</f>
        <v>163.19999999999999</v>
      </c>
      <c r="Q10" s="6" cm="1">
        <f t="array" ref="Q10">INDEX('Row Data'!$AA:$AA,290+(ROW()-2)*3)</f>
        <v>169</v>
      </c>
      <c r="R10" s="6" cm="1">
        <f t="array" ref="R10">INDEX('Row Data'!$AB:$AB,290+(ROW()-2)*3)</f>
        <v>161.1</v>
      </c>
      <c r="T10" s="17">
        <f t="shared" si="2"/>
        <v>2.0974706971005563E-2</v>
      </c>
      <c r="U10" s="17">
        <f t="shared" si="3"/>
        <v>3.6745406824145732E-3</v>
      </c>
      <c r="V10" s="17">
        <f t="shared" si="4"/>
        <v>7.1813285457811293E-3</v>
      </c>
      <c r="W10" s="17" t="str">
        <f t="shared" si="5"/>
        <v/>
      </c>
      <c r="X10" s="17">
        <f t="shared" si="6"/>
        <v>1.0995723885155906E-2</v>
      </c>
      <c r="Y10" s="17">
        <f t="shared" si="7"/>
        <v>4.3397396156230617E-3</v>
      </c>
      <c r="Z10" s="17">
        <f t="shared" si="8"/>
        <v>3.4904013961605251E-3</v>
      </c>
      <c r="AA10" s="17">
        <f t="shared" si="9"/>
        <v>1.0773130544993625E-2</v>
      </c>
      <c r="AB10" s="17">
        <f t="shared" si="10"/>
        <v>3.0731407498463259E-3</v>
      </c>
      <c r="AC10" s="17">
        <f t="shared" si="11"/>
        <v>2.9673590504450953E-3</v>
      </c>
      <c r="AD10" s="17">
        <f t="shared" si="12"/>
        <v>5.6179775280900124E-3</v>
      </c>
    </row>
    <row r="11" spans="1:30" x14ac:dyDescent="0.35">
      <c r="A11" s="10">
        <v>44470</v>
      </c>
      <c r="B11" s="6">
        <v>6146.58</v>
      </c>
      <c r="C11" s="17">
        <f t="shared" si="1"/>
        <v>0.14692760259517801</v>
      </c>
      <c r="D11" s="17">
        <f>IFERROR(AVERAGEIFS('Data Preparation'!$F:$F,'Data Preparation'!$A:$A,"Rural+Urban",'Data Preparation'!$B:$B,YEAR(A11),'Data Preparation'!$C:$C,TEXT(A11,"mmmm")),"")</f>
        <v>5.8184143222506313E-2</v>
      </c>
      <c r="F11" s="9" t="s">
        <v>26</v>
      </c>
      <c r="G11" s="17">
        <f>CORREL($C$3:$C$30,$AC$3:$AC$30)</f>
        <v>-0.1107166721840943</v>
      </c>
      <c r="H11" s="6" cm="1">
        <f t="array" ref="H11">INDEX('Row Data'!$P:$P,290+(ROW()-2)*3)</f>
        <v>167.5</v>
      </c>
      <c r="I11" s="6" cm="1">
        <f t="array" ref="I11">INDEX('Row Data'!$Q:$Q,290+(ROW()-2)*3)</f>
        <v>191.4</v>
      </c>
      <c r="J11" s="6" cm="1">
        <f t="array" ref="J11">INDEX('Row Data'!$T:$T,290+(ROW()-2)*3)</f>
        <v>169.8</v>
      </c>
      <c r="K11" s="6" cm="1">
        <f t="array" ref="K11">INDEX('Row Data'!$U:$U,290+(ROW()-2)*3)</f>
        <v>0</v>
      </c>
      <c r="L11" s="6" cm="1">
        <f t="array" ref="L11">INDEX('Row Data'!$V:$V,290+(ROW()-2)*3)</f>
        <v>165.3</v>
      </c>
      <c r="M11" s="6" cm="1">
        <f t="array" ref="M11">INDEX('Row Data'!$W:$W,290+(ROW()-2)*3)</f>
        <v>162.9</v>
      </c>
      <c r="N11" s="6" cm="1">
        <f t="array" ref="N11">INDEX('Row Data'!$X:$X,290+(ROW()-2)*3)</f>
        <v>173.4</v>
      </c>
      <c r="O11" s="6" cm="1">
        <f t="array" ref="O11">INDEX('Row Data'!$Y:$Y,290+(ROW()-2)*3)</f>
        <v>158.9</v>
      </c>
      <c r="P11" s="6" cm="1">
        <f t="array" ref="P11">INDEX('Row Data'!$Z:$Z,290+(ROW()-2)*3)</f>
        <v>163.80000000000001</v>
      </c>
      <c r="Q11" s="6" cm="1">
        <f t="array" ref="Q11">INDEX('Row Data'!$AA:$AA,290+(ROW()-2)*3)</f>
        <v>169.3</v>
      </c>
      <c r="R11" s="6" cm="1">
        <f t="array" ref="R11">INDEX('Row Data'!$AB:$AB,290+(ROW()-2)*3)</f>
        <v>162.4</v>
      </c>
      <c r="T11" s="17">
        <f t="shared" si="2"/>
        <v>1.2084592145015005E-2</v>
      </c>
      <c r="U11" s="17">
        <f t="shared" si="3"/>
        <v>1.0460251046024993E-3</v>
      </c>
      <c r="V11" s="17">
        <f t="shared" si="4"/>
        <v>8.9126559714796105E-3</v>
      </c>
      <c r="W11" s="17" t="str">
        <f t="shared" si="5"/>
        <v/>
      </c>
      <c r="X11" s="17">
        <f t="shared" si="6"/>
        <v>-1.2084592145014117E-3</v>
      </c>
      <c r="Y11" s="17">
        <f t="shared" si="7"/>
        <v>5.5555555555555358E-3</v>
      </c>
      <c r="Z11" s="17">
        <f t="shared" si="8"/>
        <v>5.2173913043478404E-3</v>
      </c>
      <c r="AA11" s="17">
        <f t="shared" si="9"/>
        <v>-3.7617554858934144E-3</v>
      </c>
      <c r="AB11" s="17">
        <f t="shared" si="10"/>
        <v>3.6764705882355031E-3</v>
      </c>
      <c r="AC11" s="17">
        <f t="shared" si="11"/>
        <v>1.7751479289942473E-3</v>
      </c>
      <c r="AD11" s="17">
        <f t="shared" si="12"/>
        <v>8.0695220360025299E-3</v>
      </c>
    </row>
    <row r="12" spans="1:30" x14ac:dyDescent="0.35">
      <c r="A12" s="10">
        <v>44501</v>
      </c>
      <c r="B12" s="6">
        <v>5952.69</v>
      </c>
      <c r="C12" s="17">
        <f t="shared" si="1"/>
        <v>-3.1544371016077322E-2</v>
      </c>
      <c r="D12" s="17">
        <f>IFERROR(AVERAGEIFS('Data Preparation'!$F:$F,'Data Preparation'!$A:$A,"Rural+Urban",'Data Preparation'!$B:$B,YEAR(A12),'Data Preparation'!$C:$C,TEXT(A12,"mmmm")),"")</f>
        <v>5.2398989898989834E-2</v>
      </c>
      <c r="F12" s="9" t="s">
        <v>198</v>
      </c>
      <c r="G12" s="17">
        <f>CORREL($C$3:$C$30,$AD$3:$AD$30)</f>
        <v>3.5853640144798363E-3</v>
      </c>
      <c r="H12" s="6" cm="1">
        <f t="array" ref="H12">INDEX('Row Data'!$P:$P,290+(ROW()-2)*3)</f>
        <v>165.8</v>
      </c>
      <c r="I12" s="6" cm="1">
        <f t="array" ref="I12">INDEX('Row Data'!$Q:$Q,290+(ROW()-2)*3)</f>
        <v>190.8</v>
      </c>
      <c r="J12" s="6" cm="1">
        <f t="array" ref="J12">INDEX('Row Data'!$T:$T,290+(ROW()-2)*3)</f>
        <v>171.2</v>
      </c>
      <c r="K12" s="6" cm="1">
        <f t="array" ref="K12">INDEX('Row Data'!$U:$U,290+(ROW()-2)*3)</f>
        <v>0</v>
      </c>
      <c r="L12" s="6" cm="1">
        <f t="array" ref="L12">INDEX('Row Data'!$V:$V,290+(ROW()-2)*3)</f>
        <v>165.6</v>
      </c>
      <c r="M12" s="6" cm="1">
        <f t="array" ref="M12">INDEX('Row Data'!$W:$W,290+(ROW()-2)*3)</f>
        <v>163.9</v>
      </c>
      <c r="N12" s="6" cm="1">
        <f t="array" ref="N12">INDEX('Row Data'!$X:$X,290+(ROW()-2)*3)</f>
        <v>174</v>
      </c>
      <c r="O12" s="6" cm="1">
        <f t="array" ref="O12">INDEX('Row Data'!$Y:$Y,290+(ROW()-2)*3)</f>
        <v>160.1</v>
      </c>
      <c r="P12" s="6" cm="1">
        <f t="array" ref="P12">INDEX('Row Data'!$Z:$Z,290+(ROW()-2)*3)</f>
        <v>164.5</v>
      </c>
      <c r="Q12" s="6" cm="1">
        <f t="array" ref="Q12">INDEX('Row Data'!$AA:$AA,290+(ROW()-2)*3)</f>
        <v>169.7</v>
      </c>
      <c r="R12" s="6" cm="1">
        <f t="array" ref="R12">INDEX('Row Data'!$AB:$AB,290+(ROW()-2)*3)</f>
        <v>162.80000000000001</v>
      </c>
      <c r="T12" s="17">
        <f t="shared" si="2"/>
        <v>-1.0149253731343233E-2</v>
      </c>
      <c r="U12" s="17">
        <f t="shared" si="3"/>
        <v>-3.1347962382445305E-3</v>
      </c>
      <c r="V12" s="17">
        <f t="shared" si="4"/>
        <v>8.2449941107183289E-3</v>
      </c>
      <c r="W12" s="17" t="str">
        <f t="shared" si="5"/>
        <v/>
      </c>
      <c r="X12" s="17">
        <f t="shared" si="6"/>
        <v>1.814882032667775E-3</v>
      </c>
      <c r="Y12" s="17">
        <f t="shared" si="7"/>
        <v>6.1387354205033606E-3</v>
      </c>
      <c r="Z12" s="17">
        <f t="shared" si="8"/>
        <v>3.4602076124568004E-3</v>
      </c>
      <c r="AA12" s="17">
        <f t="shared" si="9"/>
        <v>7.5519194461926009E-3</v>
      </c>
      <c r="AB12" s="17">
        <f t="shared" si="10"/>
        <v>4.2735042735042583E-3</v>
      </c>
      <c r="AC12" s="17">
        <f t="shared" si="11"/>
        <v>2.3626698168930371E-3</v>
      </c>
      <c r="AD12" s="17">
        <f t="shared" si="12"/>
        <v>2.4630541871921707E-3</v>
      </c>
    </row>
    <row r="13" spans="1:30" x14ac:dyDescent="0.35">
      <c r="A13" s="10">
        <v>44531</v>
      </c>
      <c r="B13" s="6">
        <v>5504.55</v>
      </c>
      <c r="C13" s="17">
        <f t="shared" si="1"/>
        <v>-7.5283611274902462E-2</v>
      </c>
      <c r="D13" s="17">
        <f>IFERROR(AVERAGEIFS('Data Preparation'!$F:$F,'Data Preparation'!$A:$A,"Rural+Urban",'Data Preparation'!$B:$B,YEAR(A13),'Data Preparation'!$C:$C,TEXT(A13,"mmmm")),"")</f>
        <v>4.5940843297671341E-2</v>
      </c>
      <c r="H13" s="6" cm="1">
        <f t="array" ref="H13">INDEX('Row Data'!$P:$P,290+(ROW()-2)*3)</f>
        <v>164.1</v>
      </c>
      <c r="I13" s="6" cm="1">
        <f t="array" ref="I13">INDEX('Row Data'!$Q:$Q,290+(ROW()-2)*3)</f>
        <v>190.7</v>
      </c>
      <c r="J13" s="6" cm="1">
        <f t="array" ref="J13">INDEX('Row Data'!$T:$T,290+(ROW()-2)*3)</f>
        <v>172.7</v>
      </c>
      <c r="K13" s="6" cm="1">
        <f t="array" ref="K13">INDEX('Row Data'!$U:$U,290+(ROW()-2)*3)</f>
        <v>0</v>
      </c>
      <c r="L13" s="6" cm="1">
        <f t="array" ref="L13">INDEX('Row Data'!$V:$V,290+(ROW()-2)*3)</f>
        <v>165.8</v>
      </c>
      <c r="M13" s="6" cm="1">
        <f t="array" ref="M13">INDEX('Row Data'!$W:$W,290+(ROW()-2)*3)</f>
        <v>164.9</v>
      </c>
      <c r="N13" s="6" cm="1">
        <f t="array" ref="N13">INDEX('Row Data'!$X:$X,290+(ROW()-2)*3)</f>
        <v>174.7</v>
      </c>
      <c r="O13" s="6" cm="1">
        <f t="array" ref="O13">INDEX('Row Data'!$Y:$Y,290+(ROW()-2)*3)</f>
        <v>160.80000000000001</v>
      </c>
      <c r="P13" s="6" cm="1">
        <f t="array" ref="P13">INDEX('Row Data'!$Z:$Z,290+(ROW()-2)*3)</f>
        <v>164.9</v>
      </c>
      <c r="Q13" s="6" cm="1">
        <f t="array" ref="Q13">INDEX('Row Data'!$AA:$AA,290+(ROW()-2)*3)</f>
        <v>169.9</v>
      </c>
      <c r="R13" s="6" cm="1">
        <f t="array" ref="R13">INDEX('Row Data'!$AB:$AB,290+(ROW()-2)*3)</f>
        <v>163.19999999999999</v>
      </c>
      <c r="T13" s="17">
        <f t="shared" si="2"/>
        <v>-1.0253317249698579E-2</v>
      </c>
      <c r="U13" s="17">
        <f t="shared" si="3"/>
        <v>-5.2410901467514481E-4</v>
      </c>
      <c r="V13" s="17">
        <f t="shared" si="4"/>
        <v>8.761682242990565E-3</v>
      </c>
      <c r="W13" s="17" t="str">
        <f t="shared" si="5"/>
        <v/>
      </c>
      <c r="X13" s="17">
        <f t="shared" si="6"/>
        <v>1.2077294685990392E-3</v>
      </c>
      <c r="Y13" s="17">
        <f t="shared" si="7"/>
        <v>6.1012812690663942E-3</v>
      </c>
      <c r="Z13" s="17">
        <f t="shared" si="8"/>
        <v>4.022988505747005E-3</v>
      </c>
      <c r="AA13" s="17">
        <f t="shared" si="9"/>
        <v>4.372267332916957E-3</v>
      </c>
      <c r="AB13" s="17">
        <f t="shared" si="10"/>
        <v>2.4316109422493071E-3</v>
      </c>
      <c r="AC13" s="17">
        <f t="shared" si="11"/>
        <v>1.1785503830290534E-3</v>
      </c>
      <c r="AD13" s="17">
        <f t="shared" si="12"/>
        <v>2.4570024570023108E-3</v>
      </c>
    </row>
    <row r="14" spans="1:30" x14ac:dyDescent="0.35">
      <c r="A14" s="10">
        <v>44562</v>
      </c>
      <c r="B14" s="6">
        <v>6247.71</v>
      </c>
      <c r="C14" s="17">
        <f t="shared" si="1"/>
        <v>0.13500831130610136</v>
      </c>
      <c r="D14" s="17">
        <f>IFERROR(AVERAGEIFS('Data Preparation'!$F:$F,'Data Preparation'!$A:$A,"Rural+Urban",'Data Preparation'!$B:$B,YEAR(A14),'Data Preparation'!$C:$C,TEXT(A14,"mmmm")),"")</f>
        <v>5.3401144310235127E-2</v>
      </c>
      <c r="H14" s="6" cm="1">
        <f t="array" ref="H14">INDEX('Row Data'!$P:$P,290+(ROW()-2)*3)</f>
        <v>163.9</v>
      </c>
      <c r="I14" s="6" cm="1">
        <f t="array" ref="I14">INDEX('Row Data'!$Q:$Q,290+(ROW()-2)*3)</f>
        <v>191.5</v>
      </c>
      <c r="J14" s="6" cm="1">
        <f t="array" ref="J14">INDEX('Row Data'!$T:$T,290+(ROW()-2)*3)</f>
        <v>173.7</v>
      </c>
      <c r="K14" s="6" cm="1">
        <f t="array" ref="K14">INDEX('Row Data'!$U:$U,290+(ROW()-2)*3)</f>
        <v>0</v>
      </c>
      <c r="L14" s="6" cm="1">
        <f t="array" ref="L14">INDEX('Row Data'!$V:$V,290+(ROW()-2)*3)</f>
        <v>167.4</v>
      </c>
      <c r="M14" s="6" cm="1">
        <f t="array" ref="M14">INDEX('Row Data'!$W:$W,290+(ROW()-2)*3)</f>
        <v>165.7</v>
      </c>
      <c r="N14" s="6" cm="1">
        <f t="array" ref="N14">INDEX('Row Data'!$X:$X,290+(ROW()-2)*3)</f>
        <v>175.3</v>
      </c>
      <c r="O14" s="6" cm="1">
        <f t="array" ref="O14">INDEX('Row Data'!$Y:$Y,290+(ROW()-2)*3)</f>
        <v>161.19999999999999</v>
      </c>
      <c r="P14" s="6" cm="1">
        <f t="array" ref="P14">INDEX('Row Data'!$Z:$Z,290+(ROW()-2)*3)</f>
        <v>165.5</v>
      </c>
      <c r="Q14" s="6" cm="1">
        <f t="array" ref="Q14">INDEX('Row Data'!$AA:$AA,290+(ROW()-2)*3)</f>
        <v>170.3</v>
      </c>
      <c r="R14" s="6" cm="1">
        <f t="array" ref="R14">INDEX('Row Data'!$AB:$AB,290+(ROW()-2)*3)</f>
        <v>164.5</v>
      </c>
      <c r="T14" s="17">
        <f t="shared" si="2"/>
        <v>-1.2187690432662324E-3</v>
      </c>
      <c r="U14" s="17">
        <f t="shared" si="3"/>
        <v>4.1950707918196883E-3</v>
      </c>
      <c r="V14" s="17">
        <f t="shared" si="4"/>
        <v>5.7903879559930704E-3</v>
      </c>
      <c r="W14" s="17" t="str">
        <f t="shared" si="5"/>
        <v/>
      </c>
      <c r="X14" s="17">
        <f t="shared" si="6"/>
        <v>9.6501809408926498E-3</v>
      </c>
      <c r="Y14" s="17">
        <f t="shared" si="7"/>
        <v>4.851425106124907E-3</v>
      </c>
      <c r="Z14" s="17">
        <f t="shared" si="8"/>
        <v>3.4344590726962387E-3</v>
      </c>
      <c r="AA14" s="17">
        <f t="shared" si="9"/>
        <v>2.4875621890545485E-3</v>
      </c>
      <c r="AB14" s="17">
        <f t="shared" si="10"/>
        <v>3.6385688295936802E-3</v>
      </c>
      <c r="AC14" s="17">
        <f t="shared" si="11"/>
        <v>2.3543260741611949E-3</v>
      </c>
      <c r="AD14" s="17">
        <f t="shared" si="12"/>
        <v>7.9656862745098866E-3</v>
      </c>
    </row>
    <row r="15" spans="1:30" x14ac:dyDescent="0.35">
      <c r="A15" s="10">
        <v>44593</v>
      </c>
      <c r="B15" s="6">
        <v>7018.51</v>
      </c>
      <c r="C15" s="17">
        <f t="shared" si="1"/>
        <v>0.12337320394192441</v>
      </c>
      <c r="D15" s="17">
        <f>IFERROR(AVERAGEIFS('Data Preparation'!$F:$F,'Data Preparation'!$A:$A,"Rural+Urban",'Data Preparation'!$B:$B,YEAR(A15),'Data Preparation'!$C:$C,TEXT(A15,"mmmm")),"")</f>
        <v>6.0664112388250313E-2</v>
      </c>
      <c r="H15" s="6" cm="1">
        <f t="array" ref="H15">INDEX('Row Data'!$P:$P,290+(ROW()-2)*3)</f>
        <v>166.6</v>
      </c>
      <c r="I15" s="6" cm="1">
        <f t="array" ref="I15">INDEX('Row Data'!$Q:$Q,290+(ROW()-2)*3)</f>
        <v>192.3</v>
      </c>
      <c r="J15" s="6" cm="1">
        <f t="array" ref="J15">INDEX('Row Data'!$T:$T,290+(ROW()-2)*3)</f>
        <v>175.1</v>
      </c>
      <c r="K15" s="6" cm="1">
        <f t="array" ref="K15">INDEX('Row Data'!$U:$U,290+(ROW()-2)*3)</f>
        <v>0</v>
      </c>
      <c r="L15" s="6" cm="1">
        <f t="array" ref="L15">INDEX('Row Data'!$V:$V,290+(ROW()-2)*3)</f>
        <v>168.9</v>
      </c>
      <c r="M15" s="6" cm="1">
        <f t="array" ref="M15">INDEX('Row Data'!$W:$W,290+(ROW()-2)*3)</f>
        <v>166.5</v>
      </c>
      <c r="N15" s="6" cm="1">
        <f t="array" ref="N15">INDEX('Row Data'!$X:$X,290+(ROW()-2)*3)</f>
        <v>176</v>
      </c>
      <c r="O15" s="6" cm="1">
        <f t="array" ref="O15">INDEX('Row Data'!$Y:$Y,290+(ROW()-2)*3)</f>
        <v>162</v>
      </c>
      <c r="P15" s="6" cm="1">
        <f t="array" ref="P15">INDEX('Row Data'!$Z:$Z,290+(ROW()-2)*3)</f>
        <v>166.6</v>
      </c>
      <c r="Q15" s="6" cm="1">
        <f t="array" ref="Q15">INDEX('Row Data'!$AA:$AA,290+(ROW()-2)*3)</f>
        <v>170.6</v>
      </c>
      <c r="R15" s="6" cm="1">
        <f t="array" ref="R15">INDEX('Row Data'!$AB:$AB,290+(ROW()-2)*3)</f>
        <v>167.4</v>
      </c>
      <c r="T15" s="17">
        <f t="shared" si="2"/>
        <v>1.6473459426479486E-2</v>
      </c>
      <c r="U15" s="17">
        <f t="shared" si="3"/>
        <v>4.1775456919059817E-3</v>
      </c>
      <c r="V15" s="17">
        <f t="shared" si="4"/>
        <v>8.0598733448473681E-3</v>
      </c>
      <c r="W15" s="17" t="str">
        <f t="shared" si="5"/>
        <v/>
      </c>
      <c r="X15" s="17">
        <f t="shared" si="6"/>
        <v>8.960573476702427E-3</v>
      </c>
      <c r="Y15" s="17">
        <f t="shared" si="7"/>
        <v>4.8280024140012756E-3</v>
      </c>
      <c r="Z15" s="17">
        <f t="shared" si="8"/>
        <v>3.993154592127679E-3</v>
      </c>
      <c r="AA15" s="17">
        <f t="shared" si="9"/>
        <v>4.9627791563275903E-3</v>
      </c>
      <c r="AB15" s="17">
        <f t="shared" si="10"/>
        <v>6.6465256797583194E-3</v>
      </c>
      <c r="AC15" s="17">
        <f t="shared" si="11"/>
        <v>1.7615971814444187E-3</v>
      </c>
      <c r="AD15" s="17">
        <f t="shared" si="12"/>
        <v>1.7629179331307032E-2</v>
      </c>
    </row>
    <row r="16" spans="1:30" x14ac:dyDescent="0.35">
      <c r="A16" s="10">
        <v>44621</v>
      </c>
      <c r="B16" s="6">
        <v>8569.8799999999992</v>
      </c>
      <c r="C16" s="17">
        <f t="shared" si="1"/>
        <v>0.22103979334645096</v>
      </c>
      <c r="D16" s="17">
        <f>IFERROR(AVERAGEIFS('Data Preparation'!$F:$F,'Data Preparation'!$A:$A,"Rural+Urban",'Data Preparation'!$B:$B,YEAR(A16),'Data Preparation'!$C:$C,TEXT(A16,"mmmm")),"")</f>
        <v>6.9515306122448939E-2</v>
      </c>
      <c r="H16" s="6" cm="1">
        <f t="array" ref="H16">INDEX('Row Data'!$P:$P,290+(ROW()-2)*3)</f>
        <v>168.6</v>
      </c>
      <c r="I16" s="6" cm="1">
        <f t="array" ref="I16">INDEX('Row Data'!$Q:$Q,290+(ROW()-2)*3)</f>
        <v>192.8</v>
      </c>
      <c r="J16" s="6" cm="1">
        <f t="array" ref="J16">INDEX('Row Data'!$T:$T,290+(ROW()-2)*3)</f>
        <v>177.1</v>
      </c>
      <c r="K16" s="6" cm="1">
        <f t="array" ref="K16">INDEX('Row Data'!$U:$U,290+(ROW()-2)*3)</f>
        <v>0</v>
      </c>
      <c r="L16" s="6" cm="1">
        <f t="array" ref="L16">INDEX('Row Data'!$V:$V,290+(ROW()-2)*3)</f>
        <v>173.3</v>
      </c>
      <c r="M16" s="6" cm="1">
        <f t="array" ref="M16">INDEX('Row Data'!$W:$W,290+(ROW()-2)*3)</f>
        <v>167.7</v>
      </c>
      <c r="N16" s="6" cm="1">
        <f t="array" ref="N16">INDEX('Row Data'!$X:$X,290+(ROW()-2)*3)</f>
        <v>177</v>
      </c>
      <c r="O16" s="6" cm="1">
        <f t="array" ref="O16">INDEX('Row Data'!$Y:$Y,290+(ROW()-2)*3)</f>
        <v>166.2</v>
      </c>
      <c r="P16" s="6" cm="1">
        <f t="array" ref="P16">INDEX('Row Data'!$Z:$Z,290+(ROW()-2)*3)</f>
        <v>167.2</v>
      </c>
      <c r="Q16" s="6" cm="1">
        <f t="array" ref="Q16">INDEX('Row Data'!$AA:$AA,290+(ROW()-2)*3)</f>
        <v>170.9</v>
      </c>
      <c r="R16" s="6" cm="1">
        <f t="array" ref="R16">INDEX('Row Data'!$AB:$AB,290+(ROW()-2)*3)</f>
        <v>169</v>
      </c>
      <c r="T16" s="17">
        <f t="shared" si="2"/>
        <v>1.200480192076836E-2</v>
      </c>
      <c r="U16" s="17">
        <f t="shared" si="3"/>
        <v>2.6001040041601087E-3</v>
      </c>
      <c r="V16" s="17">
        <f t="shared" si="4"/>
        <v>1.142204454597362E-2</v>
      </c>
      <c r="W16" s="17" t="str">
        <f t="shared" si="5"/>
        <v/>
      </c>
      <c r="X16" s="17">
        <f t="shared" si="6"/>
        <v>2.6050917702782783E-2</v>
      </c>
      <c r="Y16" s="17">
        <f t="shared" si="7"/>
        <v>7.2072072072071336E-3</v>
      </c>
      <c r="Z16" s="17">
        <f t="shared" si="8"/>
        <v>5.6818181818181213E-3</v>
      </c>
      <c r="AA16" s="17">
        <f t="shared" si="9"/>
        <v>2.5925925925925908E-2</v>
      </c>
      <c r="AB16" s="17">
        <f t="shared" si="10"/>
        <v>3.6014405762303525E-3</v>
      </c>
      <c r="AC16" s="17">
        <f t="shared" si="11"/>
        <v>1.7584994138335475E-3</v>
      </c>
      <c r="AD16" s="17">
        <f t="shared" si="12"/>
        <v>9.5579450418159517E-3</v>
      </c>
    </row>
    <row r="17" spans="1:30" x14ac:dyDescent="0.35">
      <c r="A17" s="10">
        <v>44652</v>
      </c>
      <c r="B17" s="6">
        <v>7877.96</v>
      </c>
      <c r="C17" s="17">
        <f t="shared" si="1"/>
        <v>-8.0738586771343268E-2</v>
      </c>
      <c r="D17" s="17">
        <f>IFERROR(AVERAGEIFS('Data Preparation'!$F:$F,'Data Preparation'!$A:$A,"Rural+Urban",'Data Preparation'!$B:$B,YEAR(A17),'Data Preparation'!$C:$C,TEXT(A17,"mmmm")),"")</f>
        <v>7.7946768060836336E-2</v>
      </c>
      <c r="H17" s="6" cm="1">
        <f t="array" ref="H17">INDEX('Row Data'!$P:$P,290+(ROW()-2)*3)</f>
        <v>170.8</v>
      </c>
      <c r="I17" s="6" cm="1">
        <f t="array" ref="I17">INDEX('Row Data'!$Q:$Q,290+(ROW()-2)*3)</f>
        <v>192.9</v>
      </c>
      <c r="J17" s="6" cm="1">
        <f t="array" ref="J17">INDEX('Row Data'!$T:$T,290+(ROW()-2)*3)</f>
        <v>179</v>
      </c>
      <c r="K17" s="6" cm="1">
        <f t="array" ref="K17">INDEX('Row Data'!$U:$U,290+(ROW()-2)*3)</f>
        <v>0</v>
      </c>
      <c r="L17" s="6" cm="1">
        <f t="array" ref="L17">INDEX('Row Data'!$V:$V,290+(ROW()-2)*3)</f>
        <v>175.3</v>
      </c>
      <c r="M17" s="6" cm="1">
        <f t="array" ref="M17">INDEX('Row Data'!$W:$W,290+(ROW()-2)*3)</f>
        <v>168.9</v>
      </c>
      <c r="N17" s="6" cm="1">
        <f t="array" ref="N17">INDEX('Row Data'!$X:$X,290+(ROW()-2)*3)</f>
        <v>177.7</v>
      </c>
      <c r="O17" s="6" cm="1">
        <f t="array" ref="O17">INDEX('Row Data'!$Y:$Y,290+(ROW()-2)*3)</f>
        <v>167.1</v>
      </c>
      <c r="P17" s="6" cm="1">
        <f t="array" ref="P17">INDEX('Row Data'!$Z:$Z,290+(ROW()-2)*3)</f>
        <v>167.6</v>
      </c>
      <c r="Q17" s="6" cm="1">
        <f t="array" ref="Q17">INDEX('Row Data'!$AA:$AA,290+(ROW()-2)*3)</f>
        <v>171.8</v>
      </c>
      <c r="R17" s="6" cm="1">
        <f t="array" ref="R17">INDEX('Row Data'!$AB:$AB,290+(ROW()-2)*3)</f>
        <v>168.5</v>
      </c>
      <c r="T17" s="17">
        <f t="shared" si="2"/>
        <v>1.3048635824436605E-2</v>
      </c>
      <c r="U17" s="17">
        <f t="shared" si="3"/>
        <v>5.1867219917012264E-4</v>
      </c>
      <c r="V17" s="17">
        <f t="shared" si="4"/>
        <v>1.0728402032749829E-2</v>
      </c>
      <c r="W17" s="17" t="str">
        <f t="shared" si="5"/>
        <v/>
      </c>
      <c r="X17" s="17">
        <f t="shared" si="6"/>
        <v>1.1540680900173017E-2</v>
      </c>
      <c r="Y17" s="17">
        <f t="shared" si="7"/>
        <v>7.1556350626118537E-3</v>
      </c>
      <c r="Z17" s="17">
        <f t="shared" si="8"/>
        <v>3.9548022598869803E-3</v>
      </c>
      <c r="AA17" s="17">
        <f t="shared" si="9"/>
        <v>5.4151624548737232E-3</v>
      </c>
      <c r="AB17" s="17">
        <f t="shared" si="10"/>
        <v>2.3923444976077235E-3</v>
      </c>
      <c r="AC17" s="17">
        <f t="shared" si="11"/>
        <v>5.2662375658281135E-3</v>
      </c>
      <c r="AD17" s="17">
        <f t="shared" si="12"/>
        <v>-2.9585798816568198E-3</v>
      </c>
    </row>
    <row r="18" spans="1:30" x14ac:dyDescent="0.35">
      <c r="A18" s="10">
        <v>44682</v>
      </c>
      <c r="B18" s="6">
        <v>8511.74</v>
      </c>
      <c r="C18" s="17">
        <f t="shared" si="1"/>
        <v>8.0449761105666928E-2</v>
      </c>
      <c r="D18" s="17">
        <f>IFERROR(AVERAGEIFS('Data Preparation'!$F:$F,'Data Preparation'!$A:$A,"Rural+Urban",'Data Preparation'!$B:$B,YEAR(A18),'Data Preparation'!$C:$C,TEXT(A18,"mmmm")),"")</f>
        <v>7.0448877805486143E-2</v>
      </c>
      <c r="H18" s="6" cm="1">
        <f t="array" ref="H18">INDEX('Row Data'!$P:$P,290+(ROW()-2)*3)</f>
        <v>172.4</v>
      </c>
      <c r="I18" s="6" cm="1">
        <f t="array" ref="I18">INDEX('Row Data'!$Q:$Q,290+(ROW()-2)*3)</f>
        <v>192.9</v>
      </c>
      <c r="J18" s="6" cm="1">
        <f t="array" ref="J18">INDEX('Row Data'!$T:$T,290+(ROW()-2)*3)</f>
        <v>180.4</v>
      </c>
      <c r="K18" s="6" cm="1">
        <f t="array" ref="K18">INDEX('Row Data'!$U:$U,290+(ROW()-2)*3)</f>
        <v>0</v>
      </c>
      <c r="L18" s="6" cm="1">
        <f t="array" ref="L18">INDEX('Row Data'!$V:$V,290+(ROW()-2)*3)</f>
        <v>176.7</v>
      </c>
      <c r="M18" s="6" cm="1">
        <f t="array" ref="M18">INDEX('Row Data'!$W:$W,290+(ROW()-2)*3)</f>
        <v>170.3</v>
      </c>
      <c r="N18" s="6" cm="1">
        <f t="array" ref="N18">INDEX('Row Data'!$X:$X,290+(ROW()-2)*3)</f>
        <v>178.2</v>
      </c>
      <c r="O18" s="6" cm="1">
        <f t="array" ref="O18">INDEX('Row Data'!$Y:$Y,290+(ROW()-2)*3)</f>
        <v>165.5</v>
      </c>
      <c r="P18" s="6" cm="1">
        <f t="array" ref="P18">INDEX('Row Data'!$Z:$Z,290+(ROW()-2)*3)</f>
        <v>168</v>
      </c>
      <c r="Q18" s="6" cm="1">
        <f t="array" ref="Q18">INDEX('Row Data'!$AA:$AA,290+(ROW()-2)*3)</f>
        <v>172.6</v>
      </c>
      <c r="R18" s="6" cm="1">
        <f t="array" ref="R18">INDEX('Row Data'!$AB:$AB,290+(ROW()-2)*3)</f>
        <v>169.5</v>
      </c>
      <c r="T18" s="17">
        <f t="shared" si="2"/>
        <v>9.3676814988290502E-3</v>
      </c>
      <c r="U18" s="17">
        <f t="shared" si="3"/>
        <v>0</v>
      </c>
      <c r="V18" s="17">
        <f t="shared" si="4"/>
        <v>7.8212290502792658E-3</v>
      </c>
      <c r="W18" s="17" t="str">
        <f t="shared" si="5"/>
        <v/>
      </c>
      <c r="X18" s="17">
        <f t="shared" si="6"/>
        <v>7.986309184255358E-3</v>
      </c>
      <c r="Y18" s="17">
        <f t="shared" si="7"/>
        <v>8.2889283599762997E-3</v>
      </c>
      <c r="Z18" s="17">
        <f t="shared" si="8"/>
        <v>2.8137310073157451E-3</v>
      </c>
      <c r="AA18" s="17">
        <f t="shared" si="9"/>
        <v>-9.5751047277079504E-3</v>
      </c>
      <c r="AB18" s="17">
        <f t="shared" si="10"/>
        <v>2.3866348448686736E-3</v>
      </c>
      <c r="AC18" s="17">
        <f t="shared" si="11"/>
        <v>4.6565774155993278E-3</v>
      </c>
      <c r="AD18" s="17">
        <f t="shared" si="12"/>
        <v>5.9347181008901906E-3</v>
      </c>
    </row>
    <row r="19" spans="1:30" x14ac:dyDescent="0.35">
      <c r="A19" s="10">
        <v>44713</v>
      </c>
      <c r="B19" s="6">
        <v>9119.5499999999993</v>
      </c>
      <c r="C19" s="17">
        <f t="shared" si="1"/>
        <v>7.1408431178583864E-2</v>
      </c>
      <c r="D19" s="17">
        <f>IFERROR(AVERAGEIFS('Data Preparation'!$F:$F,'Data Preparation'!$A:$A,"Rural+Urban",'Data Preparation'!$B:$B,YEAR(A19),'Data Preparation'!$C:$C,TEXT(A19,"mmmm")),"")</f>
        <v>7.0055796652200852E-2</v>
      </c>
      <c r="H19" s="6" cm="1">
        <f t="array" ref="H19">INDEX('Row Data'!$P:$P,290+(ROW()-2)*3)</f>
        <v>172.5</v>
      </c>
      <c r="I19" s="6" cm="1">
        <f t="array" ref="I19">INDEX('Row Data'!$Q:$Q,290+(ROW()-2)*3)</f>
        <v>193.2</v>
      </c>
      <c r="J19" s="6" cm="1">
        <f t="array" ref="J19">INDEX('Row Data'!$T:$T,290+(ROW()-2)*3)</f>
        <v>181.7</v>
      </c>
      <c r="K19" s="6" cm="1">
        <f t="array" ref="K19">INDEX('Row Data'!$U:$U,290+(ROW()-2)*3)</f>
        <v>0</v>
      </c>
      <c r="L19" s="6" cm="1">
        <f t="array" ref="L19">INDEX('Row Data'!$V:$V,290+(ROW()-2)*3)</f>
        <v>179.6</v>
      </c>
      <c r="M19" s="6" cm="1">
        <f t="array" ref="M19">INDEX('Row Data'!$W:$W,290+(ROW()-2)*3)</f>
        <v>171.3</v>
      </c>
      <c r="N19" s="6" cm="1">
        <f t="array" ref="N19">INDEX('Row Data'!$X:$X,290+(ROW()-2)*3)</f>
        <v>178.8</v>
      </c>
      <c r="O19" s="6" cm="1">
        <f t="array" ref="O19">INDEX('Row Data'!$Y:$Y,290+(ROW()-2)*3)</f>
        <v>166.3</v>
      </c>
      <c r="P19" s="6" cm="1">
        <f t="array" ref="P19">INDEX('Row Data'!$Z:$Z,290+(ROW()-2)*3)</f>
        <v>168.6</v>
      </c>
      <c r="Q19" s="6" cm="1">
        <f t="array" ref="Q19">INDEX('Row Data'!$AA:$AA,290+(ROW()-2)*3)</f>
        <v>174.7</v>
      </c>
      <c r="R19" s="6" cm="1">
        <f t="array" ref="R19">INDEX('Row Data'!$AB:$AB,290+(ROW()-2)*3)</f>
        <v>169.7</v>
      </c>
      <c r="T19" s="17">
        <f t="shared" si="2"/>
        <v>5.8004640371223104E-4</v>
      </c>
      <c r="U19" s="17">
        <f t="shared" si="3"/>
        <v>1.5552099533435726E-3</v>
      </c>
      <c r="V19" s="17">
        <f t="shared" si="4"/>
        <v>7.2062084257205061E-3</v>
      </c>
      <c r="W19" s="17" t="str">
        <f t="shared" si="5"/>
        <v/>
      </c>
      <c r="X19" s="17">
        <f t="shared" si="6"/>
        <v>1.6411997736276218E-2</v>
      </c>
      <c r="Y19" s="17">
        <f t="shared" si="7"/>
        <v>5.871990604815025E-3</v>
      </c>
      <c r="Z19" s="17">
        <f t="shared" si="8"/>
        <v>3.3670033670034627E-3</v>
      </c>
      <c r="AA19" s="17">
        <f t="shared" si="9"/>
        <v>4.8338368580060909E-3</v>
      </c>
      <c r="AB19" s="17">
        <f t="shared" si="10"/>
        <v>3.5714285714285587E-3</v>
      </c>
      <c r="AC19" s="17">
        <f t="shared" si="11"/>
        <v>1.2166859791425289E-2</v>
      </c>
      <c r="AD19" s="17">
        <f t="shared" si="12"/>
        <v>1.1799410029498247E-3</v>
      </c>
    </row>
    <row r="20" spans="1:30" x14ac:dyDescent="0.35">
      <c r="A20" s="10">
        <v>44743</v>
      </c>
      <c r="B20" s="6">
        <v>8366.39</v>
      </c>
      <c r="C20" s="17">
        <f t="shared" si="1"/>
        <v>-8.2587408369930504E-2</v>
      </c>
      <c r="D20" s="17">
        <f>IFERROR(AVERAGEIFS('Data Preparation'!$F:$F,'Data Preparation'!$A:$A,"Rural+Urban",'Data Preparation'!$B:$B,YEAR(A20),'Data Preparation'!$C:$C,TEXT(A20,"mmmm")),"")</f>
        <v>6.7076923076923034E-2</v>
      </c>
      <c r="H20" s="6" cm="1">
        <f t="array" ref="H20">INDEX('Row Data'!$P:$P,290+(ROW()-2)*3)</f>
        <v>173.9</v>
      </c>
      <c r="I20" s="6" cm="1">
        <f t="array" ref="I20">INDEX('Row Data'!$Q:$Q,290+(ROW()-2)*3)</f>
        <v>193.7</v>
      </c>
      <c r="J20" s="6" cm="1">
        <f t="array" ref="J20">INDEX('Row Data'!$T:$T,290+(ROW()-2)*3)</f>
        <v>183</v>
      </c>
      <c r="K20" s="6" cm="1">
        <f t="array" ref="K20">INDEX('Row Data'!$U:$U,290+(ROW()-2)*3)</f>
        <v>0</v>
      </c>
      <c r="L20" s="6" cm="1">
        <f t="array" ref="L20">INDEX('Row Data'!$V:$V,290+(ROW()-2)*3)</f>
        <v>179.1</v>
      </c>
      <c r="M20" s="6" cm="1">
        <f t="array" ref="M20">INDEX('Row Data'!$W:$W,290+(ROW()-2)*3)</f>
        <v>172.3</v>
      </c>
      <c r="N20" s="6" cm="1">
        <f t="array" ref="N20">INDEX('Row Data'!$X:$X,290+(ROW()-2)*3)</f>
        <v>179.4</v>
      </c>
      <c r="O20" s="6" cm="1">
        <f t="array" ref="O20">INDEX('Row Data'!$Y:$Y,290+(ROW()-2)*3)</f>
        <v>166.6</v>
      </c>
      <c r="P20" s="6" cm="1">
        <f t="array" ref="P20">INDEX('Row Data'!$Z:$Z,290+(ROW()-2)*3)</f>
        <v>169.3</v>
      </c>
      <c r="Q20" s="6" cm="1">
        <f t="array" ref="Q20">INDEX('Row Data'!$AA:$AA,290+(ROW()-2)*3)</f>
        <v>175.7</v>
      </c>
      <c r="R20" s="6" cm="1">
        <f t="array" ref="R20">INDEX('Row Data'!$AB:$AB,290+(ROW()-2)*3)</f>
        <v>171.1</v>
      </c>
      <c r="T20" s="17">
        <f t="shared" si="2"/>
        <v>8.1159420289855788E-3</v>
      </c>
      <c r="U20" s="17">
        <f t="shared" si="3"/>
        <v>2.5879917184266077E-3</v>
      </c>
      <c r="V20" s="17">
        <f t="shared" si="4"/>
        <v>7.1546505228399226E-3</v>
      </c>
      <c r="W20" s="17" t="str">
        <f t="shared" si="5"/>
        <v/>
      </c>
      <c r="X20" s="17">
        <f t="shared" si="6"/>
        <v>-2.7839643652560753E-3</v>
      </c>
      <c r="Y20" s="17">
        <f t="shared" si="7"/>
        <v>5.8377116170460486E-3</v>
      </c>
      <c r="Z20" s="17">
        <f t="shared" si="8"/>
        <v>3.3557046979866278E-3</v>
      </c>
      <c r="AA20" s="17">
        <f t="shared" si="9"/>
        <v>1.8039687312085828E-3</v>
      </c>
      <c r="AB20" s="17">
        <f t="shared" si="10"/>
        <v>4.1518386714116673E-3</v>
      </c>
      <c r="AC20" s="17">
        <f t="shared" si="11"/>
        <v>5.7240984544935092E-3</v>
      </c>
      <c r="AD20" s="17">
        <f t="shared" si="12"/>
        <v>8.2498526812022632E-3</v>
      </c>
    </row>
    <row r="21" spans="1:30" x14ac:dyDescent="0.35">
      <c r="A21" s="10">
        <v>44774</v>
      </c>
      <c r="B21" s="6">
        <v>7634.9</v>
      </c>
      <c r="C21" s="17">
        <f t="shared" si="1"/>
        <v>-8.7431974842196003E-2</v>
      </c>
      <c r="D21" s="17">
        <f>IFERROR(AVERAGEIFS('Data Preparation'!$F:$F,'Data Preparation'!$A:$A,"Rural+Urban",'Data Preparation'!$B:$B,YEAR(A21),'Data Preparation'!$C:$C,TEXT(A21,"mmmm")),"")</f>
        <v>6.8014705882353033E-2</v>
      </c>
      <c r="H21" s="6" cm="1">
        <f t="array" ref="H21">INDEX('Row Data'!$P:$P,290+(ROW()-2)*3)</f>
        <v>175.5</v>
      </c>
      <c r="I21" s="6" cm="1">
        <f t="array" ref="I21">INDEX('Row Data'!$Q:$Q,290+(ROW()-2)*3)</f>
        <v>194.5</v>
      </c>
      <c r="J21" s="6" cm="1">
        <f t="array" ref="J21">INDEX('Row Data'!$T:$T,290+(ROW()-2)*3)</f>
        <v>184.5</v>
      </c>
      <c r="K21" s="6" cm="1">
        <f t="array" ref="K21">INDEX('Row Data'!$U:$U,290+(ROW()-2)*3)</f>
        <v>0</v>
      </c>
      <c r="L21" s="6" cm="1">
        <f t="array" ref="L21">INDEX('Row Data'!$V:$V,290+(ROW()-2)*3)</f>
        <v>179.7</v>
      </c>
      <c r="M21" s="6" cm="1">
        <f t="array" ref="M21">INDEX('Row Data'!$W:$W,290+(ROW()-2)*3)</f>
        <v>173.6</v>
      </c>
      <c r="N21" s="6" cm="1">
        <f t="array" ref="N21">INDEX('Row Data'!$X:$X,290+(ROW()-2)*3)</f>
        <v>180.2</v>
      </c>
      <c r="O21" s="6" cm="1">
        <f t="array" ref="O21">INDEX('Row Data'!$Y:$Y,290+(ROW()-2)*3)</f>
        <v>166.9</v>
      </c>
      <c r="P21" s="6" cm="1">
        <f t="array" ref="P21">INDEX('Row Data'!$Z:$Z,290+(ROW()-2)*3)</f>
        <v>170</v>
      </c>
      <c r="Q21" s="6" cm="1">
        <f t="array" ref="Q21">INDEX('Row Data'!$AA:$AA,290+(ROW()-2)*3)</f>
        <v>176.2</v>
      </c>
      <c r="R21" s="6" cm="1">
        <f t="array" ref="R21">INDEX('Row Data'!$AB:$AB,290+(ROW()-2)*3)</f>
        <v>170.8</v>
      </c>
      <c r="T21" s="17">
        <f t="shared" si="2"/>
        <v>9.2006900517538348E-3</v>
      </c>
      <c r="U21" s="17">
        <f t="shared" si="3"/>
        <v>4.1300980898297812E-3</v>
      </c>
      <c r="V21" s="17">
        <f t="shared" si="4"/>
        <v>8.1967213114753079E-3</v>
      </c>
      <c r="W21" s="17" t="str">
        <f t="shared" si="5"/>
        <v/>
      </c>
      <c r="X21" s="17">
        <f t="shared" si="6"/>
        <v>3.3500837520936688E-3</v>
      </c>
      <c r="Y21" s="17">
        <f t="shared" si="7"/>
        <v>7.5449796865929564E-3</v>
      </c>
      <c r="Z21" s="17">
        <f t="shared" si="8"/>
        <v>4.4593088071347431E-3</v>
      </c>
      <c r="AA21" s="17">
        <f t="shared" si="9"/>
        <v>1.8007202881153983E-3</v>
      </c>
      <c r="AB21" s="17">
        <f t="shared" si="10"/>
        <v>4.1346721795627595E-3</v>
      </c>
      <c r="AC21" s="17">
        <f t="shared" si="11"/>
        <v>2.845759817871274E-3</v>
      </c>
      <c r="AD21" s="17">
        <f t="shared" si="12"/>
        <v>-1.7533606078316E-3</v>
      </c>
    </row>
    <row r="22" spans="1:30" x14ac:dyDescent="0.35">
      <c r="A22" s="10">
        <v>44805</v>
      </c>
      <c r="B22" s="6">
        <v>7079.45</v>
      </c>
      <c r="C22" s="17">
        <f t="shared" si="1"/>
        <v>-7.2751444026771805E-2</v>
      </c>
      <c r="D22" s="17">
        <f>IFERROR(AVERAGEIFS('Data Preparation'!$F:$F,'Data Preparation'!$A:$A,"Rural+Urban",'Data Preparation'!$B:$B,YEAR(A22),'Data Preparation'!$C:$C,TEXT(A22,"mmmm")),"")</f>
        <v>7.4142156862745168E-2</v>
      </c>
      <c r="H22" s="6" cm="1">
        <f t="array" ref="H22">INDEX('Row Data'!$P:$P,290+(ROW()-2)*3)</f>
        <v>177.4</v>
      </c>
      <c r="I22" s="6" cm="1">
        <f t="array" ref="I22">INDEX('Row Data'!$Q:$Q,290+(ROW()-2)*3)</f>
        <v>194.9</v>
      </c>
      <c r="J22" s="6" cm="1">
        <f t="array" ref="J22">INDEX('Row Data'!$T:$T,290+(ROW()-2)*3)</f>
        <v>185.9</v>
      </c>
      <c r="K22" s="6" cm="1">
        <f t="array" ref="K22">INDEX('Row Data'!$U:$U,290+(ROW()-2)*3)</f>
        <v>0</v>
      </c>
      <c r="L22" s="6" cm="1">
        <f t="array" ref="L22">INDEX('Row Data'!$V:$V,290+(ROW()-2)*3)</f>
        <v>180.8</v>
      </c>
      <c r="M22" s="6" cm="1">
        <f t="array" ref="M22">INDEX('Row Data'!$W:$W,290+(ROW()-2)*3)</f>
        <v>174.4</v>
      </c>
      <c r="N22" s="6" cm="1">
        <f t="array" ref="N22">INDEX('Row Data'!$X:$X,290+(ROW()-2)*3)</f>
        <v>181.2</v>
      </c>
      <c r="O22" s="6" cm="1">
        <f t="array" ref="O22">INDEX('Row Data'!$Y:$Y,290+(ROW()-2)*3)</f>
        <v>167.4</v>
      </c>
      <c r="P22" s="6" cm="1">
        <f t="array" ref="P22">INDEX('Row Data'!$Z:$Z,290+(ROW()-2)*3)</f>
        <v>170.6</v>
      </c>
      <c r="Q22" s="6" cm="1">
        <f t="array" ref="Q22">INDEX('Row Data'!$AA:$AA,290+(ROW()-2)*3)</f>
        <v>176.5</v>
      </c>
      <c r="R22" s="6" cm="1">
        <f t="array" ref="R22">INDEX('Row Data'!$AB:$AB,290+(ROW()-2)*3)</f>
        <v>172</v>
      </c>
      <c r="T22" s="17">
        <f t="shared" si="2"/>
        <v>1.0826210826210936E-2</v>
      </c>
      <c r="U22" s="17">
        <f t="shared" si="3"/>
        <v>2.0565552699229883E-3</v>
      </c>
      <c r="V22" s="17">
        <f t="shared" si="4"/>
        <v>7.5880758807589377E-3</v>
      </c>
      <c r="W22" s="17" t="str">
        <f t="shared" si="5"/>
        <v/>
      </c>
      <c r="X22" s="17">
        <f t="shared" si="6"/>
        <v>6.1213132999444753E-3</v>
      </c>
      <c r="Y22" s="17">
        <f t="shared" si="7"/>
        <v>4.6082949308756671E-3</v>
      </c>
      <c r="Z22" s="17">
        <f t="shared" si="8"/>
        <v>5.5493895671476778E-3</v>
      </c>
      <c r="AA22" s="17">
        <f t="shared" si="9"/>
        <v>2.995805871779611E-3</v>
      </c>
      <c r="AB22" s="17">
        <f t="shared" si="10"/>
        <v>3.529411764705781E-3</v>
      </c>
      <c r="AC22" s="17">
        <f t="shared" si="11"/>
        <v>1.7026106696935717E-3</v>
      </c>
      <c r="AD22" s="17">
        <f t="shared" si="12"/>
        <v>7.0257611241217877E-3</v>
      </c>
    </row>
    <row r="23" spans="1:30" x14ac:dyDescent="0.35">
      <c r="A23" s="10">
        <v>44835</v>
      </c>
      <c r="B23" s="6">
        <v>7437.13</v>
      </c>
      <c r="C23" s="17">
        <f t="shared" si="1"/>
        <v>5.0523698874912704E-2</v>
      </c>
      <c r="D23" s="17">
        <f>IFERROR(AVERAGEIFS('Data Preparation'!$F:$F,'Data Preparation'!$A:$A,"Rural+Urban",'Data Preparation'!$B:$B,YEAR(A23),'Data Preparation'!$C:$C,TEXT(A23,"mmmm")),"")</f>
        <v>6.7673716012084606E-2</v>
      </c>
      <c r="H23" s="6" cm="1">
        <f t="array" ref="H23">INDEX('Row Data'!$P:$P,290+(ROW()-2)*3)</f>
        <v>176.6</v>
      </c>
      <c r="I23" s="6" cm="1">
        <f t="array" ref="I23">INDEX('Row Data'!$Q:$Q,290+(ROW()-2)*3)</f>
        <v>195.5</v>
      </c>
      <c r="J23" s="6" cm="1">
        <f t="array" ref="J23">INDEX('Row Data'!$T:$T,290+(ROW()-2)*3)</f>
        <v>186.9</v>
      </c>
      <c r="K23" s="6" cm="1">
        <f t="array" ref="K23">INDEX('Row Data'!$U:$U,290+(ROW()-2)*3)</f>
        <v>0</v>
      </c>
      <c r="L23" s="6" cm="1">
        <f t="array" ref="L23">INDEX('Row Data'!$V:$V,290+(ROW()-2)*3)</f>
        <v>181.9</v>
      </c>
      <c r="M23" s="6" cm="1">
        <f t="array" ref="M23">INDEX('Row Data'!$W:$W,290+(ROW()-2)*3)</f>
        <v>175.5</v>
      </c>
      <c r="N23" s="6" cm="1">
        <f t="array" ref="N23">INDEX('Row Data'!$X:$X,290+(ROW()-2)*3)</f>
        <v>182.3</v>
      </c>
      <c r="O23" s="6" cm="1">
        <f t="array" ref="O23">INDEX('Row Data'!$Y:$Y,290+(ROW()-2)*3)</f>
        <v>167.5</v>
      </c>
      <c r="P23" s="6" cm="1">
        <f t="array" ref="P23">INDEX('Row Data'!$Z:$Z,290+(ROW()-2)*3)</f>
        <v>170.8</v>
      </c>
      <c r="Q23" s="6" cm="1">
        <f t="array" ref="Q23">INDEX('Row Data'!$AA:$AA,290+(ROW()-2)*3)</f>
        <v>176.9</v>
      </c>
      <c r="R23" s="6" cm="1">
        <f t="array" ref="R23">INDEX('Row Data'!$AB:$AB,290+(ROW()-2)*3)</f>
        <v>173.4</v>
      </c>
      <c r="T23" s="17">
        <f t="shared" si="2"/>
        <v>-4.5095828635851598E-3</v>
      </c>
      <c r="U23" s="17">
        <f t="shared" si="3"/>
        <v>3.0785017957926097E-3</v>
      </c>
      <c r="V23" s="17">
        <f t="shared" si="4"/>
        <v>5.3792361484670259E-3</v>
      </c>
      <c r="W23" s="17" t="str">
        <f t="shared" si="5"/>
        <v/>
      </c>
      <c r="X23" s="17">
        <f t="shared" si="6"/>
        <v>6.0840707964602281E-3</v>
      </c>
      <c r="Y23" s="17">
        <f t="shared" si="7"/>
        <v>6.307339449541205E-3</v>
      </c>
      <c r="Z23" s="17">
        <f t="shared" si="8"/>
        <v>6.070640176600639E-3</v>
      </c>
      <c r="AA23" s="17">
        <f t="shared" si="9"/>
        <v>5.9737156511352474E-4</v>
      </c>
      <c r="AB23" s="17">
        <f t="shared" si="10"/>
        <v>1.1723329425556983E-3</v>
      </c>
      <c r="AC23" s="17">
        <f t="shared" si="11"/>
        <v>2.2662889518414442E-3</v>
      </c>
      <c r="AD23" s="17">
        <f t="shared" si="12"/>
        <v>8.1395348837209891E-3</v>
      </c>
    </row>
    <row r="24" spans="1:30" x14ac:dyDescent="0.35">
      <c r="A24" s="10">
        <v>44866</v>
      </c>
      <c r="B24" s="6">
        <v>7150.11</v>
      </c>
      <c r="C24" s="17">
        <f t="shared" si="1"/>
        <v>-3.8592844282673622E-2</v>
      </c>
      <c r="D24" s="17">
        <f>IFERROR(AVERAGEIFS('Data Preparation'!$F:$F,'Data Preparation'!$A:$A,"Rural+Urban",'Data Preparation'!$B:$B,YEAR(A24),'Data Preparation'!$C:$C,TEXT(A24,"mmmm")),"")</f>
        <v>5.8788242351529796E-2</v>
      </c>
      <c r="H24" s="6" cm="1">
        <f t="array" ref="H24">INDEX('Row Data'!$P:$P,290+(ROW()-2)*3)</f>
        <v>174.4</v>
      </c>
      <c r="I24" s="6" cm="1">
        <f t="array" ref="I24">INDEX('Row Data'!$Q:$Q,290+(ROW()-2)*3)</f>
        <v>195.9</v>
      </c>
      <c r="J24" s="6" cm="1">
        <f t="array" ref="J24">INDEX('Row Data'!$T:$T,290+(ROW()-2)*3)</f>
        <v>187.8</v>
      </c>
      <c r="K24" s="6" cm="1">
        <f t="array" ref="K24">INDEX('Row Data'!$U:$U,290+(ROW()-2)*3)</f>
        <v>0</v>
      </c>
      <c r="L24" s="6" cm="1">
        <f t="array" ref="L24">INDEX('Row Data'!$V:$V,290+(ROW()-2)*3)</f>
        <v>182.8</v>
      </c>
      <c r="M24" s="6" cm="1">
        <f t="array" ref="M24">INDEX('Row Data'!$W:$W,290+(ROW()-2)*3)</f>
        <v>176.4</v>
      </c>
      <c r="N24" s="6" cm="1">
        <f t="array" ref="N24">INDEX('Row Data'!$X:$X,290+(ROW()-2)*3)</f>
        <v>183.5</v>
      </c>
      <c r="O24" s="6" cm="1">
        <f t="array" ref="O24">INDEX('Row Data'!$Y:$Y,290+(ROW()-2)*3)</f>
        <v>167.8</v>
      </c>
      <c r="P24" s="6" cm="1">
        <f t="array" ref="P24">INDEX('Row Data'!$Z:$Z,290+(ROW()-2)*3)</f>
        <v>171.2</v>
      </c>
      <c r="Q24" s="6" cm="1">
        <f t="array" ref="Q24">INDEX('Row Data'!$AA:$AA,290+(ROW()-2)*3)</f>
        <v>177.3</v>
      </c>
      <c r="R24" s="6" cm="1">
        <f t="array" ref="R24">INDEX('Row Data'!$AB:$AB,290+(ROW()-2)*3)</f>
        <v>175.7</v>
      </c>
      <c r="T24" s="17">
        <f t="shared" si="2"/>
        <v>-1.2457531143827749E-2</v>
      </c>
      <c r="U24" s="17">
        <f t="shared" si="3"/>
        <v>2.0460358056266781E-3</v>
      </c>
      <c r="V24" s="17">
        <f t="shared" si="4"/>
        <v>4.8154093097914075E-3</v>
      </c>
      <c r="W24" s="17" t="str">
        <f t="shared" si="5"/>
        <v/>
      </c>
      <c r="X24" s="17">
        <f t="shared" si="6"/>
        <v>4.947773501924102E-3</v>
      </c>
      <c r="Y24" s="17">
        <f t="shared" si="7"/>
        <v>5.12820512820511E-3</v>
      </c>
      <c r="Z24" s="17">
        <f t="shared" si="8"/>
        <v>6.5825562260011239E-3</v>
      </c>
      <c r="AA24" s="17">
        <f t="shared" si="9"/>
        <v>1.7910447761195769E-3</v>
      </c>
      <c r="AB24" s="17">
        <f t="shared" si="10"/>
        <v>2.3419203747070405E-3</v>
      </c>
      <c r="AC24" s="17">
        <f t="shared" si="11"/>
        <v>2.2611644997174718E-3</v>
      </c>
      <c r="AD24" s="17">
        <f t="shared" si="12"/>
        <v>1.3264129181083995E-2</v>
      </c>
    </row>
    <row r="25" spans="1:30" x14ac:dyDescent="0.35">
      <c r="A25" s="10">
        <v>44896</v>
      </c>
      <c r="B25" s="6">
        <v>6429.95</v>
      </c>
      <c r="C25" s="17">
        <f t="shared" si="1"/>
        <v>-0.10072012878123549</v>
      </c>
      <c r="D25" s="17">
        <f>IFERROR(AVERAGEIFS('Data Preparation'!$F:$F,'Data Preparation'!$A:$A,"Rural+Urban",'Data Preparation'!$B:$B,YEAR(A25),'Data Preparation'!$C:$C,TEXT(A25,"mmmm")),"")</f>
        <v>5.7160048134777375E-2</v>
      </c>
      <c r="H25" s="6" cm="1">
        <f t="array" ref="H25">INDEX('Row Data'!$P:$P,290+(ROW()-2)*3)</f>
        <v>175</v>
      </c>
      <c r="I25" s="6" cm="1">
        <f t="array" ref="I25">INDEX('Row Data'!$Q:$Q,290+(ROW()-2)*3)</f>
        <v>196.9</v>
      </c>
      <c r="J25" s="6" cm="1">
        <f t="array" ref="J25">INDEX('Row Data'!$T:$T,290+(ROW()-2)*3)</f>
        <v>188.6</v>
      </c>
      <c r="K25" s="6" cm="1">
        <f t="array" ref="K25">INDEX('Row Data'!$U:$U,290+(ROW()-2)*3)</f>
        <v>0</v>
      </c>
      <c r="L25" s="6" cm="1">
        <f t="array" ref="L25">INDEX('Row Data'!$V:$V,290+(ROW()-2)*3)</f>
        <v>183.2</v>
      </c>
      <c r="M25" s="6" cm="1">
        <f t="array" ref="M25">INDEX('Row Data'!$W:$W,290+(ROW()-2)*3)</f>
        <v>177.2</v>
      </c>
      <c r="N25" s="6" cm="1">
        <f t="array" ref="N25">INDEX('Row Data'!$X:$X,290+(ROW()-2)*3)</f>
        <v>184.7</v>
      </c>
      <c r="O25" s="6" cm="1">
        <f t="array" ref="O25">INDEX('Row Data'!$Y:$Y,290+(ROW()-2)*3)</f>
        <v>168.2</v>
      </c>
      <c r="P25" s="6" cm="1">
        <f t="array" ref="P25">INDEX('Row Data'!$Z:$Z,290+(ROW()-2)*3)</f>
        <v>171.8</v>
      </c>
      <c r="Q25" s="6" cm="1">
        <f t="array" ref="Q25">INDEX('Row Data'!$AA:$AA,290+(ROW()-2)*3)</f>
        <v>177.8</v>
      </c>
      <c r="R25" s="6" cm="1">
        <f t="array" ref="R25">INDEX('Row Data'!$AB:$AB,290+(ROW()-2)*3)</f>
        <v>178.4</v>
      </c>
      <c r="T25" s="17">
        <f t="shared" si="2"/>
        <v>3.4403669724769603E-3</v>
      </c>
      <c r="U25" s="17">
        <f t="shared" si="3"/>
        <v>5.1046452271568121E-3</v>
      </c>
      <c r="V25" s="17">
        <f t="shared" si="4"/>
        <v>4.2598509052182987E-3</v>
      </c>
      <c r="W25" s="17" t="str">
        <f t="shared" si="5"/>
        <v/>
      </c>
      <c r="X25" s="17">
        <f t="shared" si="6"/>
        <v>2.1881838074397919E-3</v>
      </c>
      <c r="Y25" s="17">
        <f t="shared" si="7"/>
        <v>4.5351473922901064E-3</v>
      </c>
      <c r="Z25" s="17">
        <f t="shared" si="8"/>
        <v>6.5395095367846157E-3</v>
      </c>
      <c r="AA25" s="17">
        <f t="shared" si="9"/>
        <v>2.3837902264598476E-3</v>
      </c>
      <c r="AB25" s="17">
        <f t="shared" si="10"/>
        <v>3.5046728971963592E-3</v>
      </c>
      <c r="AC25" s="17">
        <f t="shared" si="11"/>
        <v>2.8200789622110367E-3</v>
      </c>
      <c r="AD25" s="17">
        <f t="shared" si="12"/>
        <v>1.5367103016505457E-2</v>
      </c>
    </row>
    <row r="26" spans="1:30" x14ac:dyDescent="0.35">
      <c r="A26" s="10">
        <v>44927</v>
      </c>
      <c r="B26" s="6">
        <v>6584.69</v>
      </c>
      <c r="C26" s="17">
        <f t="shared" si="1"/>
        <v>2.4065505952612254E-2</v>
      </c>
      <c r="D26" s="17">
        <f>IFERROR(AVERAGEIFS('Data Preparation'!$F:$F,'Data Preparation'!$A:$A,"Rural+Urban",'Data Preparation'!$B:$B,YEAR(A26),'Data Preparation'!$C:$C,TEXT(A26,"mmmm")),"")</f>
        <v>6.5178032589016333E-2</v>
      </c>
      <c r="H26" s="6" cm="1">
        <f t="array" ref="H26">INDEX('Row Data'!$P:$P,290+(ROW()-2)*3)</f>
        <v>174.8</v>
      </c>
      <c r="I26" s="6" cm="1">
        <f t="array" ref="I26">INDEX('Row Data'!$Q:$Q,290+(ROW()-2)*3)</f>
        <v>198.3</v>
      </c>
      <c r="J26" s="6" cm="1">
        <f t="array" ref="J26">INDEX('Row Data'!$T:$T,290+(ROW()-2)*3)</f>
        <v>189.6</v>
      </c>
      <c r="K26" s="6" cm="1">
        <f t="array" ref="K26">INDEX('Row Data'!$U:$U,290+(ROW()-2)*3)</f>
        <v>0</v>
      </c>
      <c r="L26" s="6" cm="1">
        <f t="array" ref="L26">INDEX('Row Data'!$V:$V,290+(ROW()-2)*3)</f>
        <v>181.6</v>
      </c>
      <c r="M26" s="6" cm="1">
        <f t="array" ref="M26">INDEX('Row Data'!$W:$W,290+(ROW()-2)*3)</f>
        <v>178.6</v>
      </c>
      <c r="N26" s="6" cm="1">
        <f t="array" ref="N26">INDEX('Row Data'!$X:$X,290+(ROW()-2)*3)</f>
        <v>186.6</v>
      </c>
      <c r="O26" s="6" cm="1">
        <f t="array" ref="O26">INDEX('Row Data'!$Y:$Y,290+(ROW()-2)*3)</f>
        <v>169</v>
      </c>
      <c r="P26" s="6" cm="1">
        <f t="array" ref="P26">INDEX('Row Data'!$Z:$Z,290+(ROW()-2)*3)</f>
        <v>172.8</v>
      </c>
      <c r="Q26" s="6" cm="1">
        <f t="array" ref="Q26">INDEX('Row Data'!$AA:$AA,290+(ROW()-2)*3)</f>
        <v>178.5</v>
      </c>
      <c r="R26" s="6" cm="1">
        <f t="array" ref="R26">INDEX('Row Data'!$AB:$AB,290+(ROW()-2)*3)</f>
        <v>180.7</v>
      </c>
      <c r="T26" s="17">
        <f t="shared" si="2"/>
        <v>-1.1428571428571122E-3</v>
      </c>
      <c r="U26" s="17">
        <f t="shared" si="3"/>
        <v>7.1102082275267264E-3</v>
      </c>
      <c r="V26" s="17">
        <f t="shared" si="4"/>
        <v>5.3022269353129037E-3</v>
      </c>
      <c r="W26" s="17" t="str">
        <f t="shared" si="5"/>
        <v/>
      </c>
      <c r="X26" s="17">
        <f t="shared" si="6"/>
        <v>-8.733624454148492E-3</v>
      </c>
      <c r="Y26" s="17">
        <f t="shared" si="7"/>
        <v>7.900677200902928E-3</v>
      </c>
      <c r="Z26" s="17">
        <f t="shared" si="8"/>
        <v>1.0286951813752054E-2</v>
      </c>
      <c r="AA26" s="17">
        <f t="shared" si="9"/>
        <v>4.7562425683711496E-3</v>
      </c>
      <c r="AB26" s="17">
        <f t="shared" si="10"/>
        <v>5.8207217694994373E-3</v>
      </c>
      <c r="AC26" s="17">
        <f t="shared" si="11"/>
        <v>3.937007874015741E-3</v>
      </c>
      <c r="AD26" s="17">
        <f t="shared" si="12"/>
        <v>1.2892376681614248E-2</v>
      </c>
    </row>
    <row r="27" spans="1:30" x14ac:dyDescent="0.35">
      <c r="A27" s="10">
        <v>44958</v>
      </c>
      <c r="B27" s="6">
        <v>6628.99</v>
      </c>
      <c r="C27" s="17">
        <f t="shared" si="1"/>
        <v>6.7277275012187499E-3</v>
      </c>
      <c r="D27" s="17">
        <f>IFERROR(AVERAGEIFS('Data Preparation'!$F:$F,'Data Preparation'!$A:$A,"Rural+Urban",'Data Preparation'!$B:$B,YEAR(A27),'Data Preparation'!$C:$C,TEXT(A27,"mmmm")),"")</f>
        <v>6.682721252257684E-2</v>
      </c>
      <c r="H27" s="6" cm="1">
        <f t="array" ref="H27">INDEX('Row Data'!$P:$P,290+(ROW()-2)*3)</f>
        <v>174.8</v>
      </c>
      <c r="I27" s="6" cm="1">
        <f t="array" ref="I27">INDEX('Row Data'!$Q:$Q,290+(ROW()-2)*3)</f>
        <v>198.4</v>
      </c>
      <c r="J27" s="6" cm="1">
        <f t="array" ref="J27">INDEX('Row Data'!$T:$T,290+(ROW()-2)*3)</f>
        <v>189.6</v>
      </c>
      <c r="K27" s="6" cm="1">
        <f t="array" ref="K27">INDEX('Row Data'!$U:$U,290+(ROW()-2)*3)</f>
        <v>0</v>
      </c>
      <c r="L27" s="6" cm="1">
        <f t="array" ref="L27">INDEX('Row Data'!$V:$V,290+(ROW()-2)*3)</f>
        <v>181.4</v>
      </c>
      <c r="M27" s="6" cm="1">
        <f t="array" ref="M27">INDEX('Row Data'!$W:$W,290+(ROW()-2)*3)</f>
        <v>178.6</v>
      </c>
      <c r="N27" s="6" cm="1">
        <f t="array" ref="N27">INDEX('Row Data'!$X:$X,290+(ROW()-2)*3)</f>
        <v>186.6</v>
      </c>
      <c r="O27" s="6" cm="1">
        <f t="array" ref="O27">INDEX('Row Data'!$Y:$Y,290+(ROW()-2)*3)</f>
        <v>169</v>
      </c>
      <c r="P27" s="6" cm="1">
        <f t="array" ref="P27">INDEX('Row Data'!$Z:$Z,290+(ROW()-2)*3)</f>
        <v>172.8</v>
      </c>
      <c r="Q27" s="6" cm="1">
        <f t="array" ref="Q27">INDEX('Row Data'!$AA:$AA,290+(ROW()-2)*3)</f>
        <v>178.5</v>
      </c>
      <c r="R27" s="6" cm="1">
        <f t="array" ref="R27">INDEX('Row Data'!$AB:$AB,290+(ROW()-2)*3)</f>
        <v>180.7</v>
      </c>
      <c r="T27" s="17">
        <f t="shared" si="2"/>
        <v>0</v>
      </c>
      <c r="U27" s="17">
        <f t="shared" si="3"/>
        <v>5.0428643469491163E-4</v>
      </c>
      <c r="V27" s="17">
        <f t="shared" si="4"/>
        <v>0</v>
      </c>
      <c r="W27" s="17" t="str">
        <f t="shared" si="5"/>
        <v/>
      </c>
      <c r="X27" s="17">
        <f t="shared" si="6"/>
        <v>-1.1013215859030367E-3</v>
      </c>
      <c r="Y27" s="17">
        <f t="shared" si="7"/>
        <v>0</v>
      </c>
      <c r="Z27" s="17">
        <f t="shared" si="8"/>
        <v>0</v>
      </c>
      <c r="AA27" s="17">
        <f t="shared" si="9"/>
        <v>0</v>
      </c>
      <c r="AB27" s="17">
        <f t="shared" si="10"/>
        <v>0</v>
      </c>
      <c r="AC27" s="17">
        <f t="shared" si="11"/>
        <v>0</v>
      </c>
      <c r="AD27" s="17">
        <f t="shared" si="12"/>
        <v>0</v>
      </c>
    </row>
    <row r="28" spans="1:30" x14ac:dyDescent="0.35">
      <c r="A28" s="10">
        <v>44986</v>
      </c>
      <c r="B28" s="6">
        <v>6292.9</v>
      </c>
      <c r="C28" s="17">
        <f t="shared" si="1"/>
        <v>-5.0700031226476483E-2</v>
      </c>
      <c r="D28" s="17">
        <f>IFERROR(AVERAGEIFS('Data Preparation'!$F:$F,'Data Preparation'!$A:$A,"Rural+Urban",'Data Preparation'!$B:$B,YEAR(A28),'Data Preparation'!$C:$C,TEXT(A28,"mmmm")),"")</f>
        <v>5.6648777579010101E-2</v>
      </c>
      <c r="H28" s="6" cm="1">
        <f t="array" ref="H28">INDEX('Row Data'!$P:$P,290+(ROW()-2)*3)</f>
        <v>175.5</v>
      </c>
      <c r="I28" s="6" cm="1">
        <f t="array" ref="I28">INDEX('Row Data'!$Q:$Q,290+(ROW()-2)*3)</f>
        <v>199.5</v>
      </c>
      <c r="J28" s="6" cm="1">
        <f t="array" ref="J28">INDEX('Row Data'!$T:$T,290+(ROW()-2)*3)</f>
        <v>190.2</v>
      </c>
      <c r="K28" s="6" t="str" cm="1">
        <f t="array" ref="K28">INDEX('Row Data'!$U:$U,290+(ROW()-2)*3)</f>
        <v>-</v>
      </c>
      <c r="L28" s="6" cm="1">
        <f t="array" ref="L28">INDEX('Row Data'!$V:$V,290+(ROW()-2)*3)</f>
        <v>181.5</v>
      </c>
      <c r="M28" s="6" cm="1">
        <f t="array" ref="M28">INDEX('Row Data'!$W:$W,290+(ROW()-2)*3)</f>
        <v>179.1</v>
      </c>
      <c r="N28" s="6" cm="1">
        <f t="array" ref="N28">INDEX('Row Data'!$X:$X,290+(ROW()-2)*3)</f>
        <v>187.2</v>
      </c>
      <c r="O28" s="6" cm="1">
        <f t="array" ref="O28">INDEX('Row Data'!$Y:$Y,290+(ROW()-2)*3)</f>
        <v>169.4</v>
      </c>
      <c r="P28" s="6" cm="1">
        <f t="array" ref="P28">INDEX('Row Data'!$Z:$Z,290+(ROW()-2)*3)</f>
        <v>173.2</v>
      </c>
      <c r="Q28" s="6" cm="1">
        <f t="array" ref="Q28">INDEX('Row Data'!$AA:$AA,290+(ROW()-2)*3)</f>
        <v>179.4</v>
      </c>
      <c r="R28" s="6" cm="1">
        <f t="array" ref="R28">INDEX('Row Data'!$AB:$AB,290+(ROW()-2)*3)</f>
        <v>183.8</v>
      </c>
      <c r="T28" s="17">
        <f t="shared" si="2"/>
        <v>4.004576659038861E-3</v>
      </c>
      <c r="U28" s="17">
        <f t="shared" si="3"/>
        <v>5.5443548387097419E-3</v>
      </c>
      <c r="V28" s="17">
        <f t="shared" si="4"/>
        <v>3.1645569620253333E-3</v>
      </c>
      <c r="W28" s="17" t="str">
        <f t="shared" si="5"/>
        <v/>
      </c>
      <c r="X28" s="17">
        <f t="shared" si="6"/>
        <v>5.5126791620718762E-4</v>
      </c>
      <c r="Y28" s="17">
        <f t="shared" si="7"/>
        <v>2.7995520716685984E-3</v>
      </c>
      <c r="Z28" s="17">
        <f t="shared" si="8"/>
        <v>3.215434083601254E-3</v>
      </c>
      <c r="AA28" s="17">
        <f t="shared" si="9"/>
        <v>2.3668639053253671E-3</v>
      </c>
      <c r="AB28" s="17">
        <f t="shared" si="10"/>
        <v>2.3148148148146586E-3</v>
      </c>
      <c r="AC28" s="17">
        <f t="shared" si="11"/>
        <v>5.0420168067226712E-3</v>
      </c>
      <c r="AD28" s="17">
        <f t="shared" si="12"/>
        <v>1.7155506364139539E-2</v>
      </c>
    </row>
    <row r="29" spans="1:30" x14ac:dyDescent="0.35">
      <c r="A29" s="10">
        <v>45017</v>
      </c>
      <c r="B29" s="6">
        <v>6763.43</v>
      </c>
      <c r="C29" s="17">
        <f t="shared" si="1"/>
        <v>7.4771567957539586E-2</v>
      </c>
      <c r="D29" s="17">
        <f>IFERROR(AVERAGEIFS('Data Preparation'!$F:$F,'Data Preparation'!$A:$A,"Rural+Urban",'Data Preparation'!$B:$B,YEAR(A29),'Data Preparation'!$C:$C,TEXT(A29,"mmmm")),"")</f>
        <v>4.7031158142269325E-2</v>
      </c>
      <c r="H29" s="6" cm="1">
        <f t="array" ref="H29">INDEX('Row Data'!$P:$P,290+(ROW()-2)*3)</f>
        <v>176.8</v>
      </c>
      <c r="I29" s="6" cm="1">
        <f t="array" ref="I29">INDEX('Row Data'!$Q:$Q,290+(ROW()-2)*3)</f>
        <v>199.9</v>
      </c>
      <c r="J29" s="6" cm="1">
        <f t="array" ref="J29">INDEX('Row Data'!$T:$T,290+(ROW()-2)*3)</f>
        <v>190.8</v>
      </c>
      <c r="K29" s="6" t="str" cm="1">
        <f t="array" ref="K29">INDEX('Row Data'!$U:$U,290+(ROW()-2)*3)</f>
        <v>-</v>
      </c>
      <c r="L29" s="6" cm="1">
        <f t="array" ref="L29">INDEX('Row Data'!$V:$V,290+(ROW()-2)*3)</f>
        <v>182.5</v>
      </c>
      <c r="M29" s="6" cm="1">
        <f t="array" ref="M29">INDEX('Row Data'!$W:$W,290+(ROW()-2)*3)</f>
        <v>179.8</v>
      </c>
      <c r="N29" s="6" cm="1">
        <f t="array" ref="N29">INDEX('Row Data'!$X:$X,290+(ROW()-2)*3)</f>
        <v>187.8</v>
      </c>
      <c r="O29" s="6" cm="1">
        <f t="array" ref="O29">INDEX('Row Data'!$Y:$Y,290+(ROW()-2)*3)</f>
        <v>169.7</v>
      </c>
      <c r="P29" s="6" cm="1">
        <f t="array" ref="P29">INDEX('Row Data'!$Z:$Z,290+(ROW()-2)*3)</f>
        <v>173.8</v>
      </c>
      <c r="Q29" s="6" cm="1">
        <f t="array" ref="Q29">INDEX('Row Data'!$AA:$AA,290+(ROW()-2)*3)</f>
        <v>180.3</v>
      </c>
      <c r="R29" s="6" cm="1">
        <f t="array" ref="R29">INDEX('Row Data'!$AB:$AB,290+(ROW()-2)*3)</f>
        <v>184.9</v>
      </c>
      <c r="T29" s="17">
        <f t="shared" si="2"/>
        <v>7.4074074074075291E-3</v>
      </c>
      <c r="U29" s="17">
        <f t="shared" si="3"/>
        <v>2.0050125313284539E-3</v>
      </c>
      <c r="V29" s="17">
        <f t="shared" si="4"/>
        <v>3.154574132492316E-3</v>
      </c>
      <c r="W29" s="17" t="str">
        <f t="shared" si="5"/>
        <v/>
      </c>
      <c r="X29" s="17">
        <f t="shared" si="6"/>
        <v>5.5096418732782926E-3</v>
      </c>
      <c r="Y29" s="17">
        <f t="shared" si="7"/>
        <v>3.9084310441095393E-3</v>
      </c>
      <c r="Z29" s="17">
        <f t="shared" si="8"/>
        <v>3.2051282051284158E-3</v>
      </c>
      <c r="AA29" s="17">
        <f t="shared" si="9"/>
        <v>1.7709563164107767E-3</v>
      </c>
      <c r="AB29" s="17">
        <f t="shared" si="10"/>
        <v>3.4642032332565798E-3</v>
      </c>
      <c r="AC29" s="17">
        <f t="shared" si="11"/>
        <v>5.0167224080268635E-3</v>
      </c>
      <c r="AD29" s="17">
        <f t="shared" si="12"/>
        <v>5.9847660500542688E-3</v>
      </c>
    </row>
    <row r="30" spans="1:30" x14ac:dyDescent="0.35">
      <c r="A30" s="10">
        <v>45047</v>
      </c>
      <c r="B30" s="6">
        <v>6102.52</v>
      </c>
      <c r="C30" s="17">
        <f t="shared" si="1"/>
        <v>-9.7718169626949569E-2</v>
      </c>
      <c r="D30" s="17">
        <f>IFERROR(AVERAGEIFS('Data Preparation'!$F:$F,'Data Preparation'!$A:$A,"Rural+Urban",'Data Preparation'!$B:$B,YEAR(A30),'Data Preparation'!$C:$C,TEXT(A30,"mmmm")),"")</f>
        <v>4.3098427489807856E-2</v>
      </c>
      <c r="H30" s="6" cm="1">
        <f t="array" ref="H30">INDEX('Row Data'!$P:$P,290+(ROW()-2)*3)</f>
        <v>0</v>
      </c>
      <c r="I30" s="6" cm="1">
        <f t="array" ref="I30">INDEX('Row Data'!$Q:$Q,290+(ROW()-2)*3)</f>
        <v>0</v>
      </c>
      <c r="J30" s="6" cm="1">
        <f t="array" ref="J30">INDEX('Row Data'!$T:$T,290+(ROW()-2)*3)</f>
        <v>0</v>
      </c>
      <c r="K30" s="6" cm="1">
        <f t="array" ref="K30">INDEX('Row Data'!$U:$U,290+(ROW()-2)*3)</f>
        <v>0</v>
      </c>
      <c r="L30" s="6" cm="1">
        <f t="array" ref="L30">INDEX('Row Data'!$V:$V,290+(ROW()-2)*3)</f>
        <v>0</v>
      </c>
      <c r="M30" s="6" cm="1">
        <f t="array" ref="M30">INDEX('Row Data'!$W:$W,290+(ROW()-2)*3)</f>
        <v>0</v>
      </c>
      <c r="N30" s="6" cm="1">
        <f t="array" ref="N30">INDEX('Row Data'!$X:$X,290+(ROW()-2)*3)</f>
        <v>0</v>
      </c>
      <c r="O30" s="6" cm="1">
        <f t="array" ref="O30">INDEX('Row Data'!$Y:$Y,290+(ROW()-2)*3)</f>
        <v>0</v>
      </c>
      <c r="P30" s="6" cm="1">
        <f t="array" ref="P30">INDEX('Row Data'!$Z:$Z,290+(ROW()-2)*3)</f>
        <v>0</v>
      </c>
      <c r="Q30" s="6" cm="1">
        <f t="array" ref="Q30">INDEX('Row Data'!$AA:$AA,290+(ROW()-2)*3)</f>
        <v>0</v>
      </c>
      <c r="R30" s="6" cm="1">
        <f t="array" ref="R30">INDEX('Row Data'!$AB:$AB,290+(ROW()-2)*3)</f>
        <v>0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x14ac:dyDescent="0.35">
      <c r="A31" s="10">
        <v>45078</v>
      </c>
      <c r="B31" s="6">
        <v>6025.65</v>
      </c>
      <c r="C31" s="17">
        <f t="shared" si="1"/>
        <v>-1.2596435570879083E-2</v>
      </c>
      <c r="D31" s="17" t="str">
        <f>IFERROR(AVERAGEIFS('Data Preparation'!$F:$F,'Data Preparation'!$A:$A,"Rural+Urban",'Data Preparation'!$B:$B,YEAR(A31),'Data Preparation'!$C:$C,TEXT(A31,"mmmm")),"")</f>
        <v/>
      </c>
      <c r="H31" s="6" cm="1">
        <f t="array" ref="H31">INDEX('Row Data'!$P:$P,290+(ROW()-2)*3)</f>
        <v>0</v>
      </c>
      <c r="I31" s="6" cm="1">
        <f t="array" ref="I31">INDEX('Row Data'!$Q:$Q,290+(ROW()-2)*3)</f>
        <v>0</v>
      </c>
      <c r="J31" s="6" cm="1">
        <f t="array" ref="J31">INDEX('Row Data'!$T:$T,290+(ROW()-2)*3)</f>
        <v>0</v>
      </c>
      <c r="K31" s="6" cm="1">
        <f t="array" ref="K31">INDEX('Row Data'!$U:$U,290+(ROW()-2)*3)</f>
        <v>0</v>
      </c>
      <c r="L31" s="6" cm="1">
        <f t="array" ref="L31">INDEX('Row Data'!$V:$V,290+(ROW()-2)*3)</f>
        <v>0</v>
      </c>
      <c r="M31" s="6" cm="1">
        <f t="array" ref="M31">INDEX('Row Data'!$W:$W,290+(ROW()-2)*3)</f>
        <v>0</v>
      </c>
      <c r="N31" s="6" cm="1">
        <f t="array" ref="N31">INDEX('Row Data'!$X:$X,290+(ROW()-2)*3)</f>
        <v>0</v>
      </c>
      <c r="O31" s="6" cm="1">
        <f t="array" ref="O31">INDEX('Row Data'!$Y:$Y,290+(ROW()-2)*3)</f>
        <v>0</v>
      </c>
      <c r="P31" s="6" cm="1">
        <f t="array" ref="P31">INDEX('Row Data'!$Z:$Z,290+(ROW()-2)*3)</f>
        <v>0</v>
      </c>
      <c r="Q31" s="6" cm="1">
        <f t="array" ref="Q31">INDEX('Row Data'!$AA:$AA,290+(ROW()-2)*3)</f>
        <v>0</v>
      </c>
      <c r="R31" s="6" cm="1">
        <f t="array" ref="R31">INDEX('Row Data'!$AB:$AB,290+(ROW()-2)*3)</f>
        <v>0</v>
      </c>
    </row>
    <row r="32" spans="1:30" x14ac:dyDescent="0.35">
      <c r="A32" s="10">
        <v>45108</v>
      </c>
      <c r="B32" s="6">
        <v>6490.32</v>
      </c>
      <c r="C32" s="17">
        <f t="shared" si="1"/>
        <v>7.71153319558886E-2</v>
      </c>
      <c r="D32" s="17" t="str">
        <f>IFERROR(AVERAGEIFS('Data Preparation'!$F:$F,'Data Preparation'!$A:$A,"Rural+Urban",'Data Preparation'!$B:$B,YEAR(A32),'Data Preparation'!$C:$C,TEXT(A32,"mmmm")),"")</f>
        <v/>
      </c>
      <c r="H32" s="6" cm="1">
        <f t="array" ref="H32">INDEX('Row Data'!$P:$P,290+(ROW()-2)*3)</f>
        <v>0</v>
      </c>
      <c r="I32" s="6" cm="1">
        <f t="array" ref="I32">INDEX('Row Data'!$Q:$Q,290+(ROW()-2)*3)</f>
        <v>0</v>
      </c>
      <c r="J32" s="6" cm="1">
        <f t="array" ref="J32">INDEX('Row Data'!$T:$T,290+(ROW()-2)*3)</f>
        <v>0</v>
      </c>
      <c r="K32" s="6" cm="1">
        <f t="array" ref="K32">INDEX('Row Data'!$U:$U,290+(ROW()-2)*3)</f>
        <v>0</v>
      </c>
      <c r="L32" s="6" cm="1">
        <f t="array" ref="L32">INDEX('Row Data'!$V:$V,290+(ROW()-2)*3)</f>
        <v>0</v>
      </c>
      <c r="M32" s="6" cm="1">
        <f t="array" ref="M32">INDEX('Row Data'!$W:$W,290+(ROW()-2)*3)</f>
        <v>0</v>
      </c>
      <c r="N32" s="6" cm="1">
        <f t="array" ref="N32">INDEX('Row Data'!$X:$X,290+(ROW()-2)*3)</f>
        <v>0</v>
      </c>
      <c r="O32" s="6" cm="1">
        <f t="array" ref="O32">INDEX('Row Data'!$Y:$Y,290+(ROW()-2)*3)</f>
        <v>0</v>
      </c>
      <c r="P32" s="6" cm="1">
        <f t="array" ref="P32">INDEX('Row Data'!$Z:$Z,290+(ROW()-2)*3)</f>
        <v>0</v>
      </c>
      <c r="Q32" s="6" cm="1">
        <f t="array" ref="Q32">INDEX('Row Data'!$AA:$AA,290+(ROW()-2)*3)</f>
        <v>0</v>
      </c>
      <c r="R32" s="6" cm="1">
        <f t="array" ref="R32">INDEX('Row Data'!$AB:$AB,290+(ROW()-2)*3)</f>
        <v>0</v>
      </c>
    </row>
    <row r="33" spans="1:18" x14ac:dyDescent="0.35">
      <c r="A33" s="10">
        <v>45139</v>
      </c>
      <c r="B33" s="6">
        <v>7013.58</v>
      </c>
      <c r="C33" s="17">
        <f t="shared" si="1"/>
        <v>8.0621602632844125E-2</v>
      </c>
      <c r="D33" s="17" t="str">
        <f>IFERROR(AVERAGEIFS('Data Preparation'!$F:$F,'Data Preparation'!$A:$A,"Rural+Urban",'Data Preparation'!$B:$B,YEAR(A33),'Data Preparation'!$C:$C,TEXT(A33,"mmmm")),"")</f>
        <v/>
      </c>
      <c r="H33" s="6" cm="1">
        <f t="array" ref="H33">INDEX('Row Data'!$P:$P,290+(ROW()-2)*3)</f>
        <v>0</v>
      </c>
      <c r="I33" s="6" cm="1">
        <f t="array" ref="I33">INDEX('Row Data'!$Q:$Q,290+(ROW()-2)*3)</f>
        <v>0</v>
      </c>
      <c r="J33" s="6" cm="1">
        <f t="array" ref="J33">INDEX('Row Data'!$T:$T,290+(ROW()-2)*3)</f>
        <v>0</v>
      </c>
      <c r="K33" s="6" cm="1">
        <f t="array" ref="K33">INDEX('Row Data'!$U:$U,290+(ROW()-2)*3)</f>
        <v>0</v>
      </c>
      <c r="L33" s="6" cm="1">
        <f t="array" ref="L33">INDEX('Row Data'!$V:$V,290+(ROW()-2)*3)</f>
        <v>0</v>
      </c>
      <c r="M33" s="6" cm="1">
        <f t="array" ref="M33">INDEX('Row Data'!$W:$W,290+(ROW()-2)*3)</f>
        <v>0</v>
      </c>
      <c r="N33" s="6" cm="1">
        <f t="array" ref="N33">INDEX('Row Data'!$X:$X,290+(ROW()-2)*3)</f>
        <v>0</v>
      </c>
      <c r="O33" s="6" cm="1">
        <f t="array" ref="O33">INDEX('Row Data'!$Y:$Y,290+(ROW()-2)*3)</f>
        <v>0</v>
      </c>
      <c r="P33" s="6" cm="1">
        <f t="array" ref="P33">INDEX('Row Data'!$Z:$Z,290+(ROW()-2)*3)</f>
        <v>0</v>
      </c>
      <c r="Q33" s="6" cm="1">
        <f t="array" ref="Q33">INDEX('Row Data'!$AA:$AA,290+(ROW()-2)*3)</f>
        <v>0</v>
      </c>
      <c r="R33" s="6" cm="1">
        <f t="array" ref="R33">INDEX('Row Data'!$AB:$AB,290+(ROW()-2)*3)</f>
        <v>0</v>
      </c>
    </row>
    <row r="34" spans="1:18" x14ac:dyDescent="0.35">
      <c r="A34" s="10">
        <v>45170</v>
      </c>
      <c r="B34" s="6">
        <v>7659.66</v>
      </c>
      <c r="C34" s="17">
        <f t="shared" si="1"/>
        <v>9.2118433096934904E-2</v>
      </c>
      <c r="D34" s="17" t="str">
        <f>IFERROR(AVERAGEIFS('Data Preparation'!$F:$F,'Data Preparation'!$A:$A,"Rural+Urban",'Data Preparation'!$B:$B,YEAR(A34),'Data Preparation'!$C:$C,TEXT(A34,"mmmm")),"")</f>
        <v/>
      </c>
      <c r="H34" s="6" cm="1">
        <f t="array" ref="H34">INDEX('Row Data'!$P:$P,290+(ROW()-2)*3)</f>
        <v>0</v>
      </c>
      <c r="I34" s="6" cm="1">
        <f t="array" ref="I34">INDEX('Row Data'!$Q:$Q,290+(ROW()-2)*3)</f>
        <v>0</v>
      </c>
      <c r="J34" s="6" cm="1">
        <f t="array" ref="J34">INDEX('Row Data'!$T:$T,290+(ROW()-2)*3)</f>
        <v>0</v>
      </c>
      <c r="K34" s="6" cm="1">
        <f t="array" ref="K34">INDEX('Row Data'!$U:$U,290+(ROW()-2)*3)</f>
        <v>0</v>
      </c>
      <c r="L34" s="6" cm="1">
        <f t="array" ref="L34">INDEX('Row Data'!$V:$V,290+(ROW()-2)*3)</f>
        <v>0</v>
      </c>
      <c r="M34" s="6" cm="1">
        <f t="array" ref="M34">INDEX('Row Data'!$W:$W,290+(ROW()-2)*3)</f>
        <v>0</v>
      </c>
      <c r="N34" s="6" cm="1">
        <f t="array" ref="N34">INDEX('Row Data'!$X:$X,290+(ROW()-2)*3)</f>
        <v>0</v>
      </c>
      <c r="O34" s="6" cm="1">
        <f t="array" ref="O34">INDEX('Row Data'!$Y:$Y,290+(ROW()-2)*3)</f>
        <v>0</v>
      </c>
      <c r="P34" s="6" cm="1">
        <f t="array" ref="P34">INDEX('Row Data'!$Z:$Z,290+(ROW()-2)*3)</f>
        <v>0</v>
      </c>
      <c r="Q34" s="6" cm="1">
        <f t="array" ref="Q34">INDEX('Row Data'!$AA:$AA,290+(ROW()-2)*3)</f>
        <v>0</v>
      </c>
      <c r="R34" s="6" cm="1">
        <f t="array" ref="R34">INDEX('Row Data'!$AB:$AB,290+(ROW()-2)*3)</f>
        <v>0</v>
      </c>
    </row>
    <row r="35" spans="1:18" x14ac:dyDescent="0.35">
      <c r="A35" s="10">
        <v>45200</v>
      </c>
      <c r="B35" s="6">
        <v>7414.52</v>
      </c>
      <c r="C35" s="17">
        <f t="shared" si="1"/>
        <v>-3.200403151053699E-2</v>
      </c>
      <c r="D35" s="17" t="str">
        <f>IFERROR(AVERAGEIFS('Data Preparation'!$F:$F,'Data Preparation'!$A:$A,"Rural+Urban",'Data Preparation'!$B:$B,YEAR(A35),'Data Preparation'!$C:$C,TEXT(A35,"mmmm")),"")</f>
        <v/>
      </c>
      <c r="H35" s="6" cm="1">
        <f t="array" ref="H35">INDEX('Row Data'!$P:$P,290+(ROW()-2)*3)</f>
        <v>0</v>
      </c>
      <c r="I35" s="6" cm="1">
        <f t="array" ref="I35">INDEX('Row Data'!$Q:$Q,290+(ROW()-2)*3)</f>
        <v>0</v>
      </c>
      <c r="J35" s="6" cm="1">
        <f t="array" ref="J35">INDEX('Row Data'!$T:$T,290+(ROW()-2)*3)</f>
        <v>0</v>
      </c>
      <c r="K35" s="6" cm="1">
        <f t="array" ref="K35">INDEX('Row Data'!$U:$U,290+(ROW()-2)*3)</f>
        <v>0</v>
      </c>
      <c r="L35" s="6" cm="1">
        <f t="array" ref="L35">INDEX('Row Data'!$V:$V,290+(ROW()-2)*3)</f>
        <v>0</v>
      </c>
      <c r="M35" s="6" cm="1">
        <f t="array" ref="M35">INDEX('Row Data'!$W:$W,290+(ROW()-2)*3)</f>
        <v>0</v>
      </c>
      <c r="N35" s="6" cm="1">
        <f t="array" ref="N35">INDEX('Row Data'!$X:$X,290+(ROW()-2)*3)</f>
        <v>0</v>
      </c>
      <c r="O35" s="6" cm="1">
        <f t="array" ref="O35">INDEX('Row Data'!$Y:$Y,290+(ROW()-2)*3)</f>
        <v>0</v>
      </c>
      <c r="P35" s="6" cm="1">
        <f t="array" ref="P35">INDEX('Row Data'!$Z:$Z,290+(ROW()-2)*3)</f>
        <v>0</v>
      </c>
      <c r="Q35" s="6" cm="1">
        <f t="array" ref="Q35">INDEX('Row Data'!$AA:$AA,290+(ROW()-2)*3)</f>
        <v>0</v>
      </c>
      <c r="R35" s="6" cm="1">
        <f t="array" ref="R35">INDEX('Row Data'!$AB:$AB,290+(ROW()-2)*3)</f>
        <v>0</v>
      </c>
    </row>
    <row r="36" spans="1:18" x14ac:dyDescent="0.35">
      <c r="A36" s="10">
        <v>45231</v>
      </c>
      <c r="B36" s="6">
        <v>6775.71</v>
      </c>
      <c r="C36" s="17">
        <f t="shared" si="1"/>
        <v>-8.6156622411160844E-2</v>
      </c>
      <c r="D36" s="17" t="str">
        <f>IFERROR(AVERAGEIFS('Data Preparation'!$F:$F,'Data Preparation'!$A:$A,"Rural+Urban",'Data Preparation'!$B:$B,YEAR(A36),'Data Preparation'!$C:$C,TEXT(A36,"mmmm")),"")</f>
        <v/>
      </c>
      <c r="H36" s="6" cm="1">
        <f t="array" ref="H36">INDEX('Row Data'!$P:$P,290+(ROW()-2)*3)</f>
        <v>0</v>
      </c>
      <c r="I36" s="6" cm="1">
        <f t="array" ref="I36">INDEX('Row Data'!$Q:$Q,290+(ROW()-2)*3)</f>
        <v>0</v>
      </c>
      <c r="J36" s="6" cm="1">
        <f t="array" ref="J36">INDEX('Row Data'!$T:$T,290+(ROW()-2)*3)</f>
        <v>0</v>
      </c>
      <c r="K36" s="6" cm="1">
        <f t="array" ref="K36">INDEX('Row Data'!$U:$U,290+(ROW()-2)*3)</f>
        <v>0</v>
      </c>
      <c r="L36" s="6" cm="1">
        <f t="array" ref="L36">INDEX('Row Data'!$V:$V,290+(ROW()-2)*3)</f>
        <v>0</v>
      </c>
      <c r="M36" s="6" cm="1">
        <f t="array" ref="M36">INDEX('Row Data'!$W:$W,290+(ROW()-2)*3)</f>
        <v>0</v>
      </c>
      <c r="N36" s="6" cm="1">
        <f t="array" ref="N36">INDEX('Row Data'!$X:$X,290+(ROW()-2)*3)</f>
        <v>0</v>
      </c>
      <c r="O36" s="6" cm="1">
        <f t="array" ref="O36">INDEX('Row Data'!$Y:$Y,290+(ROW()-2)*3)</f>
        <v>0</v>
      </c>
      <c r="P36" s="6" cm="1">
        <f t="array" ref="P36">INDEX('Row Data'!$Z:$Z,290+(ROW()-2)*3)</f>
        <v>0</v>
      </c>
      <c r="Q36" s="6" cm="1">
        <f t="array" ref="Q36">INDEX('Row Data'!$AA:$AA,290+(ROW()-2)*3)</f>
        <v>0</v>
      </c>
      <c r="R36" s="6" cm="1">
        <f t="array" ref="R36">INDEX('Row Data'!$AB:$AB,290+(ROW()-2)*3)</f>
        <v>0</v>
      </c>
    </row>
    <row r="37" spans="1:18" x14ac:dyDescent="0.35">
      <c r="A37" s="10">
        <v>45261</v>
      </c>
      <c r="B37" s="6">
        <v>6307.43</v>
      </c>
      <c r="C37" s="17">
        <f t="shared" si="1"/>
        <v>-6.9111576498994132E-2</v>
      </c>
      <c r="D37" s="17" t="str">
        <f>IFERROR(AVERAGEIFS('Data Preparation'!$F:$F,'Data Preparation'!$A:$A,"Rural+Urban",'Data Preparation'!$B:$B,YEAR(A37),'Data Preparation'!$C:$C,TEXT(A37,"mmmm")),"")</f>
        <v/>
      </c>
      <c r="H37" s="6" cm="1">
        <f t="array" ref="H37">INDEX('Row Data'!$P:$P,290+(ROW()-2)*3)</f>
        <v>0</v>
      </c>
      <c r="I37" s="6" cm="1">
        <f t="array" ref="I37">INDEX('Row Data'!$Q:$Q,290+(ROW()-2)*3)</f>
        <v>0</v>
      </c>
      <c r="J37" s="6" cm="1">
        <f t="array" ref="J37">INDEX('Row Data'!$T:$T,290+(ROW()-2)*3)</f>
        <v>0</v>
      </c>
      <c r="K37" s="6" cm="1">
        <f t="array" ref="K37">INDEX('Row Data'!$U:$U,290+(ROW()-2)*3)</f>
        <v>0</v>
      </c>
      <c r="L37" s="6" cm="1">
        <f t="array" ref="L37">INDEX('Row Data'!$V:$V,290+(ROW()-2)*3)</f>
        <v>0</v>
      </c>
      <c r="M37" s="6" cm="1">
        <f t="array" ref="M37">INDEX('Row Data'!$W:$W,290+(ROW()-2)*3)</f>
        <v>0</v>
      </c>
      <c r="N37" s="6" cm="1">
        <f t="array" ref="N37">INDEX('Row Data'!$X:$X,290+(ROW()-2)*3)</f>
        <v>0</v>
      </c>
      <c r="O37" s="6" cm="1">
        <f t="array" ref="O37">INDEX('Row Data'!$Y:$Y,290+(ROW()-2)*3)</f>
        <v>0</v>
      </c>
      <c r="P37" s="6" cm="1">
        <f t="array" ref="P37">INDEX('Row Data'!$Z:$Z,290+(ROW()-2)*3)</f>
        <v>0</v>
      </c>
      <c r="Q37" s="6" cm="1">
        <f t="array" ref="Q37">INDEX('Row Data'!$AA:$AA,290+(ROW()-2)*3)</f>
        <v>0</v>
      </c>
      <c r="R37" s="6" cm="1">
        <f t="array" ref="R37">INDEX('Row Data'!$AB:$AB,290+(ROW()-2)*3)</f>
        <v>0</v>
      </c>
    </row>
    <row r="68" spans="1:1" ht="18.5" x14ac:dyDescent="0.45">
      <c r="A68" s="21" t="s">
        <v>229</v>
      </c>
    </row>
    <row r="69" spans="1:1" ht="116" x14ac:dyDescent="0.35">
      <c r="A69" s="20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Row Data</vt:lpstr>
      <vt:lpstr>Problem Statement</vt:lpstr>
      <vt:lpstr>Data Preparation</vt:lpstr>
      <vt:lpstr>Q1_CPI Contribution</vt:lpstr>
      <vt:lpstr>Q2_YoY Trend</vt:lpstr>
      <vt:lpstr>Q3_Food Inflation</vt:lpstr>
      <vt:lpstr>Q4_COVID Impact</vt:lpstr>
      <vt:lpstr>Q5_Oil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sharma</cp:lastModifiedBy>
  <dcterms:created xsi:type="dcterms:W3CDTF">2026-09-14T02:40:06Z</dcterms:created>
  <dcterms:modified xsi:type="dcterms:W3CDTF">2026-09-14T07:38:35Z</dcterms:modified>
</cp:coreProperties>
</file>